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420" windowWidth="20730" windowHeight="1134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calcPr calcId="124519" refMode="R1C1"/>
</workbook>
</file>

<file path=xl/calcChain.xml><?xml version="1.0" encoding="utf-8"?>
<calcChain xmlns="http://schemas.openxmlformats.org/spreadsheetml/2006/main">
  <c r="L6" i="1"/>
  <c r="L30" s="1"/>
  <c r="L7"/>
  <c r="L8"/>
  <c r="H30"/>
  <c r="I30"/>
  <c r="J30"/>
  <c r="K30"/>
  <c r="M30"/>
  <c r="N30"/>
  <c r="P30"/>
  <c r="Q30"/>
  <c r="R30"/>
  <c r="S30"/>
  <c r="T30"/>
  <c r="U30"/>
  <c r="V30"/>
  <c r="W30"/>
  <c r="H10"/>
  <c r="G30"/>
  <c r="D25"/>
  <c r="K7" l="1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6"/>
  <c r="G7"/>
  <c r="G8"/>
  <c r="G9"/>
  <c r="G10"/>
  <c r="G11"/>
  <c r="G12"/>
  <c r="G13"/>
  <c r="G14"/>
  <c r="G15"/>
  <c r="G17"/>
  <c r="G18"/>
  <c r="G19"/>
  <c r="G20"/>
  <c r="G21"/>
  <c r="G22"/>
  <c r="G23"/>
  <c r="G24"/>
  <c r="G25"/>
  <c r="G26"/>
  <c r="G27"/>
  <c r="G28"/>
  <c r="G29"/>
  <c r="G6"/>
  <c r="S7" l="1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6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7"/>
  <c r="O6"/>
  <c r="F30"/>
  <c r="E30"/>
  <c r="O30" l="1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U7" l="1"/>
  <c r="U10"/>
  <c r="U11"/>
  <c r="U13"/>
  <c r="U21"/>
  <c r="U23"/>
  <c r="U26"/>
  <c r="U27"/>
  <c r="U29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Z30"/>
  <c r="AA30"/>
  <c r="L9"/>
  <c r="L10"/>
  <c r="L11"/>
  <c r="L12"/>
  <c r="L13"/>
  <c r="L14"/>
  <c r="L15"/>
  <c r="L16"/>
  <c r="L18"/>
  <c r="L19"/>
  <c r="L20"/>
  <c r="L21"/>
  <c r="L22"/>
  <c r="L24"/>
  <c r="L26"/>
  <c r="L27"/>
  <c r="L28"/>
  <c r="L29"/>
  <c r="AB30" l="1"/>
  <c r="H6"/>
  <c r="H7"/>
  <c r="H8"/>
  <c r="H14"/>
  <c r="H15"/>
  <c r="H16"/>
  <c r="H17"/>
  <c r="H18"/>
  <c r="H19"/>
  <c r="H20"/>
  <c r="H21"/>
  <c r="H22"/>
  <c r="H23"/>
  <c r="H24"/>
  <c r="H25"/>
  <c r="H26"/>
  <c r="H27"/>
  <c r="H28"/>
  <c r="H29"/>
  <c r="T6" l="1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6"/>
  <c r="D27"/>
  <c r="D28"/>
  <c r="D29"/>
  <c r="B28"/>
  <c r="B29"/>
  <c r="B26"/>
  <c r="B27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D30" l="1"/>
</calcChain>
</file>

<file path=xl/sharedStrings.xml><?xml version="1.0" encoding="utf-8"?>
<sst xmlns="http://schemas.openxmlformats.org/spreadsheetml/2006/main" count="27" uniqueCount="19">
  <si>
    <t>Наименование села</t>
  </si>
  <si>
    <t>№</t>
  </si>
  <si>
    <t>Наименование сельского округа</t>
  </si>
  <si>
    <t>ИТОГО</t>
  </si>
  <si>
    <t>Куры</t>
  </si>
  <si>
    <t>Утки</t>
  </si>
  <si>
    <t>Гуси</t>
  </si>
  <si>
    <t>Уалихановского района на  1 января 2026 года</t>
  </si>
  <si>
    <t>Итого</t>
  </si>
  <si>
    <t xml:space="preserve">Численность поголовья сельскохозяйственных животных </t>
  </si>
  <si>
    <t>КРС население</t>
  </si>
  <si>
    <t>в т.ч. Коровы население</t>
  </si>
  <si>
    <t>МРС население</t>
  </si>
  <si>
    <t>Лошади население</t>
  </si>
  <si>
    <t>Свиньи  население</t>
  </si>
  <si>
    <t>Птицы население</t>
  </si>
  <si>
    <t>КФХ, ИП</t>
  </si>
  <si>
    <t>КФХ,ИП</t>
  </si>
  <si>
    <t>Юр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</si>
</sst>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6" fillId="0" borderId="1" xfId="1" applyFill="1" applyBorder="1" applyAlignment="1">
      <alignment horizontal="center"/>
    </xf>
    <xf numFmtId="0" fontId="6" fillId="0" borderId="1" xfId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Font="1"/>
    <xf numFmtId="0" fontId="0" fillId="0" borderId="1" xfId="0" applyFont="1" applyBorder="1"/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/>
    <xf numFmtId="0" fontId="5" fillId="2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/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7;&#1082;&#1088;&#1080;&#1085;&#1080;&#1075;%20&#1089;&#1074;&#1086;&#1076;&#1085;&#1099;&#1081;%20&#1087;&#1086;%20&#1059;&#1072;&#1083;&#1080;&#1093;&#1072;&#1085;&#1086;&#1074;&#1089;&#1082;&#1086;&#1084;&#1091;%20&#1088;&#1072;&#1081;&#1086;&#1085;&#1091;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население"/>
      <sheetName val="животноводство"/>
      <sheetName val="растениеводство"/>
    </sheetNames>
    <sheetDataSet>
      <sheetData sheetId="0"/>
      <sheetData sheetId="1">
        <row r="3">
          <cell r="D3" t="str">
            <v>Актуесайский</v>
          </cell>
          <cell r="E3" t="str">
            <v>Актуесай</v>
          </cell>
          <cell r="F3">
            <v>318</v>
          </cell>
          <cell r="G3">
            <v>336</v>
          </cell>
          <cell r="K3">
            <v>3</v>
          </cell>
          <cell r="O3">
            <v>141</v>
          </cell>
        </row>
        <row r="4">
          <cell r="D4" t="str">
            <v>Актуесайский</v>
          </cell>
          <cell r="E4" t="str">
            <v>Шагирсай</v>
          </cell>
          <cell r="F4">
            <v>112</v>
          </cell>
          <cell r="G4">
            <v>185</v>
          </cell>
          <cell r="K4">
            <v>0</v>
          </cell>
          <cell r="O4">
            <v>74</v>
          </cell>
          <cell r="Q4">
            <v>95</v>
          </cell>
        </row>
        <row r="5">
          <cell r="D5" t="str">
            <v>Актуесайский</v>
          </cell>
          <cell r="E5" t="str">
            <v>Кондыбай</v>
          </cell>
          <cell r="F5">
            <v>177</v>
          </cell>
          <cell r="G5">
            <v>96</v>
          </cell>
          <cell r="K5">
            <v>12</v>
          </cell>
          <cell r="O5">
            <v>85</v>
          </cell>
        </row>
        <row r="6">
          <cell r="D6" t="str">
            <v xml:space="preserve">Акбулакский </v>
          </cell>
          <cell r="E6" t="str">
            <v>Акбулак</v>
          </cell>
          <cell r="F6">
            <v>468</v>
          </cell>
          <cell r="G6">
            <v>850</v>
          </cell>
          <cell r="K6">
            <v>3</v>
          </cell>
        </row>
        <row r="7">
          <cell r="D7" t="str">
            <v xml:space="preserve">Акбулакский </v>
          </cell>
          <cell r="E7" t="str">
            <v>Карашилик</v>
          </cell>
          <cell r="F7">
            <v>365</v>
          </cell>
          <cell r="G7">
            <v>169</v>
          </cell>
          <cell r="K7">
            <v>68</v>
          </cell>
          <cell r="O7">
            <v>187</v>
          </cell>
          <cell r="Q7">
            <v>100</v>
          </cell>
        </row>
        <row r="8">
          <cell r="D8" t="str">
            <v xml:space="preserve">Акбулакский </v>
          </cell>
          <cell r="E8" t="str">
            <v>Жас Улан</v>
          </cell>
          <cell r="F8">
            <v>289</v>
          </cell>
          <cell r="G8">
            <v>230</v>
          </cell>
          <cell r="K8">
            <v>28</v>
          </cell>
          <cell r="Q8">
            <v>170</v>
          </cell>
        </row>
        <row r="9">
          <cell r="D9" t="str">
            <v>Амангельдинский</v>
          </cell>
          <cell r="E9" t="str">
            <v>Амангельды</v>
          </cell>
          <cell r="F9">
            <v>286</v>
          </cell>
          <cell r="G9">
            <v>80</v>
          </cell>
          <cell r="K9">
            <v>0</v>
          </cell>
        </row>
        <row r="10">
          <cell r="D10" t="str">
            <v>Амангельдинский</v>
          </cell>
          <cell r="E10" t="str">
            <v>Тлеусай</v>
          </cell>
          <cell r="F10">
            <v>338</v>
          </cell>
          <cell r="G10">
            <v>160</v>
          </cell>
          <cell r="K10">
            <v>0</v>
          </cell>
          <cell r="Q10">
            <v>380</v>
          </cell>
        </row>
        <row r="11">
          <cell r="D11" t="str">
            <v>Бидайкский</v>
          </cell>
          <cell r="E11" t="str">
            <v>Бидайык</v>
          </cell>
          <cell r="F11">
            <v>825</v>
          </cell>
          <cell r="G11">
            <v>497</v>
          </cell>
          <cell r="K11">
            <v>0</v>
          </cell>
          <cell r="O11">
            <v>341</v>
          </cell>
        </row>
        <row r="12">
          <cell r="D12" t="str">
            <v>Бидайкский</v>
          </cell>
          <cell r="E12" t="str">
            <v>Ондирис</v>
          </cell>
          <cell r="F12">
            <v>425</v>
          </cell>
          <cell r="G12">
            <v>538</v>
          </cell>
          <cell r="K12">
            <v>0</v>
          </cell>
          <cell r="O12">
            <v>316</v>
          </cell>
        </row>
        <row r="13">
          <cell r="D13" t="str">
            <v>Бидайкский</v>
          </cell>
          <cell r="E13" t="str">
            <v>Жамбыл</v>
          </cell>
          <cell r="F13">
            <v>346</v>
          </cell>
          <cell r="G13">
            <v>386</v>
          </cell>
          <cell r="K13">
            <v>0</v>
          </cell>
          <cell r="O13">
            <v>154</v>
          </cell>
        </row>
        <row r="14">
          <cell r="D14" t="str">
            <v>Кишкенекольский</v>
          </cell>
          <cell r="E14" t="str">
            <v>Кишкенеколь</v>
          </cell>
          <cell r="F14">
            <v>1069</v>
          </cell>
          <cell r="G14">
            <v>967</v>
          </cell>
          <cell r="K14">
            <v>20</v>
          </cell>
          <cell r="O14">
            <v>624</v>
          </cell>
        </row>
        <row r="15">
          <cell r="D15" t="str">
            <v xml:space="preserve">Коктерекский </v>
          </cell>
          <cell r="E15" t="str">
            <v>Мортык</v>
          </cell>
          <cell r="F15">
            <v>326</v>
          </cell>
          <cell r="G15">
            <v>1009</v>
          </cell>
          <cell r="K15">
            <v>0</v>
          </cell>
          <cell r="O15">
            <v>130</v>
          </cell>
        </row>
        <row r="16">
          <cell r="D16" t="str">
            <v xml:space="preserve">Коктерекский </v>
          </cell>
          <cell r="E16" t="str">
            <v>Коктерек</v>
          </cell>
          <cell r="F16">
            <v>201</v>
          </cell>
          <cell r="G16">
            <v>358</v>
          </cell>
          <cell r="K16">
            <v>0</v>
          </cell>
          <cell r="O16">
            <v>93</v>
          </cell>
        </row>
        <row r="17">
          <cell r="D17" t="str">
            <v>Кайратский</v>
          </cell>
          <cell r="E17" t="str">
            <v>Кайрат</v>
          </cell>
          <cell r="F17">
            <v>540</v>
          </cell>
          <cell r="G17">
            <v>368</v>
          </cell>
          <cell r="K17">
            <v>0</v>
          </cell>
          <cell r="O17">
            <v>324</v>
          </cell>
        </row>
        <row r="18">
          <cell r="D18" t="str">
            <v>Кайратский</v>
          </cell>
          <cell r="E18" t="str">
            <v>Жаскайрат</v>
          </cell>
          <cell r="F18">
            <v>338</v>
          </cell>
          <cell r="G18">
            <v>201</v>
          </cell>
          <cell r="K18">
            <v>0</v>
          </cell>
          <cell r="O18">
            <v>255</v>
          </cell>
          <cell r="Q18">
            <v>25</v>
          </cell>
        </row>
        <row r="19">
          <cell r="D19" t="str">
            <v>Карасуский</v>
          </cell>
          <cell r="E19" t="str">
            <v>Аккудык</v>
          </cell>
          <cell r="F19">
            <v>425</v>
          </cell>
          <cell r="G19">
            <v>340</v>
          </cell>
          <cell r="K19">
            <v>0</v>
          </cell>
          <cell r="O19">
            <v>249</v>
          </cell>
        </row>
        <row r="20">
          <cell r="D20" t="str">
            <v>Карасуский</v>
          </cell>
          <cell r="E20" t="str">
            <v>Золотая Нива</v>
          </cell>
          <cell r="F20">
            <v>177</v>
          </cell>
          <cell r="G20">
            <v>108</v>
          </cell>
          <cell r="K20">
            <v>0</v>
          </cell>
          <cell r="O20">
            <v>83</v>
          </cell>
          <cell r="Q20">
            <v>92</v>
          </cell>
        </row>
        <row r="21">
          <cell r="D21" t="str">
            <v>Каратерекский</v>
          </cell>
          <cell r="E21" t="str">
            <v>Каратерек</v>
          </cell>
          <cell r="F21">
            <v>102</v>
          </cell>
          <cell r="G21">
            <v>161</v>
          </cell>
          <cell r="K21">
            <v>0</v>
          </cell>
          <cell r="O21">
            <v>55</v>
          </cell>
        </row>
        <row r="22">
          <cell r="D22" t="str">
            <v>Кулыкольский</v>
          </cell>
          <cell r="E22" t="str">
            <v>Кулыколь</v>
          </cell>
          <cell r="F22">
            <v>2776</v>
          </cell>
          <cell r="G22">
            <v>817</v>
          </cell>
          <cell r="K22">
            <v>0</v>
          </cell>
          <cell r="O22">
            <v>1364</v>
          </cell>
        </row>
        <row r="23">
          <cell r="D23" t="str">
            <v>Кулыкольский</v>
          </cell>
          <cell r="E23" t="str">
            <v>Каратал</v>
          </cell>
          <cell r="F23">
            <v>1137</v>
          </cell>
          <cell r="G23">
            <v>307</v>
          </cell>
          <cell r="K23">
            <v>0</v>
          </cell>
          <cell r="O23">
            <v>856</v>
          </cell>
          <cell r="Q23">
            <v>135</v>
          </cell>
        </row>
        <row r="24">
          <cell r="D24" t="str">
            <v>Кулыкольский</v>
          </cell>
          <cell r="E24" t="str">
            <v>Береке</v>
          </cell>
          <cell r="F24">
            <v>668</v>
          </cell>
          <cell r="G24">
            <v>157</v>
          </cell>
          <cell r="K24">
            <v>0</v>
          </cell>
          <cell r="O24">
            <v>563</v>
          </cell>
          <cell r="Q24">
            <v>41</v>
          </cell>
        </row>
        <row r="25">
          <cell r="D25" t="str">
            <v>Тельжанский</v>
          </cell>
          <cell r="E25" t="str">
            <v>Тельжан</v>
          </cell>
          <cell r="F25">
            <v>173</v>
          </cell>
          <cell r="G25">
            <v>236</v>
          </cell>
          <cell r="K25">
            <v>0</v>
          </cell>
          <cell r="O25">
            <v>92</v>
          </cell>
        </row>
        <row r="26">
          <cell r="D26" t="str">
            <v>Тельжанский</v>
          </cell>
          <cell r="E26" t="str">
            <v>Кобенсай</v>
          </cell>
          <cell r="F26">
            <v>256</v>
          </cell>
          <cell r="G26">
            <v>291</v>
          </cell>
          <cell r="K26">
            <v>0</v>
          </cell>
          <cell r="O26">
            <v>167</v>
          </cell>
          <cell r="Q26">
            <v>770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2"/>
  <sheetViews>
    <sheetView tabSelected="1" zoomScale="64" zoomScaleNormal="64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S4" sqref="S4:S5"/>
    </sheetView>
  </sheetViews>
  <sheetFormatPr defaultRowHeight="15"/>
  <cols>
    <col min="1" max="1" width="5.7109375" customWidth="1"/>
    <col min="2" max="2" width="20.5703125" customWidth="1"/>
    <col min="3" max="3" width="19.140625" customWidth="1"/>
    <col min="4" max="4" width="12.28515625" customWidth="1"/>
    <col min="5" max="5" width="12.42578125" customWidth="1"/>
    <col min="6" max="6" width="10" customWidth="1"/>
    <col min="7" max="7" width="10" style="19" customWidth="1"/>
    <col min="8" max="11" width="10.5703125" style="19" customWidth="1"/>
    <col min="12" max="15" width="8.42578125" style="19" customWidth="1"/>
    <col min="16" max="16" width="9.85546875" style="19" customWidth="1"/>
    <col min="17" max="17" width="12.7109375" style="19" customWidth="1"/>
    <col min="18" max="19" width="9.85546875" style="19" customWidth="1"/>
    <col min="20" max="20" width="9.28515625" style="19" customWidth="1"/>
    <col min="21" max="21" width="11" customWidth="1"/>
    <col min="26" max="28" width="0" hidden="1" customWidth="1"/>
  </cols>
  <sheetData>
    <row r="1" spans="1:28" ht="18.75">
      <c r="A1" s="23" t="s">
        <v>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1"/>
      <c r="W1" s="2"/>
    </row>
    <row r="2" spans="1:28" ht="18.75">
      <c r="A2" s="23" t="s">
        <v>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1"/>
      <c r="W2" s="2"/>
    </row>
    <row r="3" spans="1:28" ht="18.75">
      <c r="A3" s="1"/>
      <c r="B3" s="1"/>
      <c r="C3" s="1"/>
      <c r="D3" s="1"/>
      <c r="E3" s="1"/>
      <c r="F3" s="1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"/>
      <c r="V3" s="1"/>
      <c r="W3" s="2"/>
    </row>
    <row r="4" spans="1:28" ht="15" customHeight="1">
      <c r="A4" s="24" t="s">
        <v>1</v>
      </c>
      <c r="B4" s="24" t="s">
        <v>2</v>
      </c>
      <c r="C4" s="24" t="s">
        <v>0</v>
      </c>
      <c r="D4" s="24" t="s">
        <v>10</v>
      </c>
      <c r="E4" s="24" t="s">
        <v>16</v>
      </c>
      <c r="F4" s="24" t="s">
        <v>18</v>
      </c>
      <c r="G4" s="31" t="s">
        <v>8</v>
      </c>
      <c r="H4" s="26" t="s">
        <v>11</v>
      </c>
      <c r="I4" s="26" t="s">
        <v>16</v>
      </c>
      <c r="J4" s="24" t="s">
        <v>18</v>
      </c>
      <c r="K4" s="31" t="s">
        <v>8</v>
      </c>
      <c r="L4" s="26" t="s">
        <v>12</v>
      </c>
      <c r="M4" s="26" t="s">
        <v>16</v>
      </c>
      <c r="N4" s="24" t="s">
        <v>18</v>
      </c>
      <c r="O4" s="31" t="s">
        <v>8</v>
      </c>
      <c r="P4" s="26" t="s">
        <v>13</v>
      </c>
      <c r="Q4" s="26" t="s">
        <v>17</v>
      </c>
      <c r="R4" s="24" t="s">
        <v>18</v>
      </c>
      <c r="S4" s="31" t="s">
        <v>8</v>
      </c>
      <c r="T4" s="31" t="s">
        <v>14</v>
      </c>
      <c r="U4" s="33" t="s">
        <v>15</v>
      </c>
      <c r="V4" s="34"/>
      <c r="W4" s="35"/>
    </row>
    <row r="5" spans="1:28" ht="31.5" customHeight="1">
      <c r="A5" s="25"/>
      <c r="B5" s="25"/>
      <c r="C5" s="25"/>
      <c r="D5" s="25"/>
      <c r="E5" s="25"/>
      <c r="F5" s="25"/>
      <c r="G5" s="32"/>
      <c r="H5" s="27"/>
      <c r="I5" s="27"/>
      <c r="J5" s="25"/>
      <c r="K5" s="32"/>
      <c r="L5" s="27"/>
      <c r="M5" s="27"/>
      <c r="N5" s="25"/>
      <c r="O5" s="32"/>
      <c r="P5" s="27"/>
      <c r="Q5" s="27"/>
      <c r="R5" s="25"/>
      <c r="S5" s="32"/>
      <c r="T5" s="32"/>
      <c r="U5" s="3" t="s">
        <v>4</v>
      </c>
      <c r="V5" s="3" t="s">
        <v>5</v>
      </c>
      <c r="W5" s="3" t="s">
        <v>6</v>
      </c>
    </row>
    <row r="6" spans="1:28" s="12" customFormat="1" ht="31.5" customHeight="1">
      <c r="A6" s="10">
        <v>1</v>
      </c>
      <c r="B6" s="10" t="str">
        <f>[1]животноводство!D3</f>
        <v>Актуесайский</v>
      </c>
      <c r="C6" s="10" t="str">
        <f>[1]животноводство!E3</f>
        <v>Актуесай</v>
      </c>
      <c r="D6" s="10">
        <f>[1]животноводство!F3</f>
        <v>318</v>
      </c>
      <c r="E6" s="10">
        <v>7</v>
      </c>
      <c r="F6" s="10"/>
      <c r="G6" s="15">
        <f>D6+E6+F6</f>
        <v>325</v>
      </c>
      <c r="H6" s="17">
        <f>[1]животноводство!O3</f>
        <v>141</v>
      </c>
      <c r="I6" s="17"/>
      <c r="J6" s="17"/>
      <c r="K6" s="15">
        <f>J6+I6+H6</f>
        <v>141</v>
      </c>
      <c r="L6" s="17">
        <f t="shared" ref="L6:L29" si="0">AB6</f>
        <v>1095</v>
      </c>
      <c r="M6" s="17"/>
      <c r="N6" s="17"/>
      <c r="O6" s="15">
        <f>L6+M6+N6</f>
        <v>1095</v>
      </c>
      <c r="P6" s="17">
        <f>[1]животноводство!G3</f>
        <v>336</v>
      </c>
      <c r="Q6" s="17">
        <v>7</v>
      </c>
      <c r="R6" s="17"/>
      <c r="S6" s="15">
        <f>P6+Q6+R6</f>
        <v>343</v>
      </c>
      <c r="T6" s="17">
        <f>[1]животноводство!K3</f>
        <v>3</v>
      </c>
      <c r="U6" s="11">
        <v>751</v>
      </c>
      <c r="V6" s="11">
        <v>6</v>
      </c>
      <c r="W6" s="11">
        <v>23</v>
      </c>
      <c r="Z6" s="6">
        <v>1083</v>
      </c>
      <c r="AA6" s="6">
        <v>12</v>
      </c>
      <c r="AB6" s="13">
        <f>Z6+AA6</f>
        <v>1095</v>
      </c>
    </row>
    <row r="7" spans="1:28" s="12" customFormat="1" ht="31.5" customHeight="1">
      <c r="A7" s="10">
        <v>2</v>
      </c>
      <c r="B7" s="10" t="str">
        <f>[1]животноводство!D4</f>
        <v>Актуесайский</v>
      </c>
      <c r="C7" s="10" t="str">
        <f>[1]животноводство!E4</f>
        <v>Шагирсай</v>
      </c>
      <c r="D7" s="10">
        <f>[1]животноводство!F4</f>
        <v>112</v>
      </c>
      <c r="E7" s="10">
        <v>506</v>
      </c>
      <c r="F7" s="10">
        <v>4437</v>
      </c>
      <c r="G7" s="15">
        <f t="shared" ref="G7:G29" si="1">D7+E7+F7</f>
        <v>5055</v>
      </c>
      <c r="H7" s="17">
        <f>[1]животноводство!O4</f>
        <v>74</v>
      </c>
      <c r="I7" s="17">
        <v>378</v>
      </c>
      <c r="J7" s="17">
        <v>1389</v>
      </c>
      <c r="K7" s="15">
        <f t="shared" ref="K7:K29" si="2">J7+I7+H7</f>
        <v>1841</v>
      </c>
      <c r="L7" s="17">
        <f t="shared" si="0"/>
        <v>545</v>
      </c>
      <c r="M7" s="17">
        <v>305</v>
      </c>
      <c r="N7" s="17">
        <v>1103</v>
      </c>
      <c r="O7" s="15">
        <f>L7+M7+N7</f>
        <v>1953</v>
      </c>
      <c r="P7" s="17">
        <f>[1]животноводство!G4</f>
        <v>185</v>
      </c>
      <c r="Q7" s="17">
        <v>383</v>
      </c>
      <c r="R7" s="17">
        <v>9</v>
      </c>
      <c r="S7" s="15">
        <f t="shared" ref="S7:S29" si="3">P7+Q7+R7</f>
        <v>577</v>
      </c>
      <c r="T7" s="17">
        <f>[1]животноводство!K4</f>
        <v>0</v>
      </c>
      <c r="U7" s="11">
        <f>[1]животноводство!Q4</f>
        <v>95</v>
      </c>
      <c r="V7" s="11"/>
      <c r="W7" s="11">
        <v>25</v>
      </c>
      <c r="Z7" s="6">
        <v>545</v>
      </c>
      <c r="AA7" s="6">
        <v>0</v>
      </c>
      <c r="AB7" s="13">
        <f t="shared" ref="AB7:AB30" si="4">Z7+AA7</f>
        <v>545</v>
      </c>
    </row>
    <row r="8" spans="1:28" s="12" customFormat="1" ht="31.5" customHeight="1">
      <c r="A8" s="10">
        <v>3</v>
      </c>
      <c r="B8" s="10" t="str">
        <f>[1]животноводство!D5</f>
        <v>Актуесайский</v>
      </c>
      <c r="C8" s="10" t="str">
        <f>[1]животноводство!E5</f>
        <v>Кондыбай</v>
      </c>
      <c r="D8" s="10">
        <f>[1]животноводство!F5</f>
        <v>177</v>
      </c>
      <c r="E8" s="10"/>
      <c r="F8" s="10"/>
      <c r="G8" s="15">
        <f t="shared" si="1"/>
        <v>177</v>
      </c>
      <c r="H8" s="17">
        <f>[1]животноводство!O5</f>
        <v>85</v>
      </c>
      <c r="I8" s="17"/>
      <c r="J8" s="17"/>
      <c r="K8" s="15">
        <f t="shared" si="2"/>
        <v>85</v>
      </c>
      <c r="L8" s="17">
        <f t="shared" si="0"/>
        <v>369</v>
      </c>
      <c r="M8" s="17"/>
      <c r="N8" s="17"/>
      <c r="O8" s="15">
        <f t="shared" ref="O8:O29" si="5">L8+M8+N8</f>
        <v>369</v>
      </c>
      <c r="P8" s="17">
        <f>[1]животноводство!G5</f>
        <v>96</v>
      </c>
      <c r="Q8" s="17"/>
      <c r="R8" s="17"/>
      <c r="S8" s="15">
        <f t="shared" si="3"/>
        <v>96</v>
      </c>
      <c r="T8" s="17">
        <f>[1]животноводство!K5</f>
        <v>12</v>
      </c>
      <c r="U8" s="11">
        <v>184</v>
      </c>
      <c r="V8" s="11"/>
      <c r="W8" s="11">
        <v>25</v>
      </c>
      <c r="Z8" s="6">
        <v>369</v>
      </c>
      <c r="AA8" s="6">
        <v>0</v>
      </c>
      <c r="AB8" s="13">
        <f t="shared" si="4"/>
        <v>369</v>
      </c>
    </row>
    <row r="9" spans="1:28" s="12" customFormat="1" ht="31.5" customHeight="1">
      <c r="A9" s="10">
        <v>4</v>
      </c>
      <c r="B9" s="10" t="str">
        <f>[1]животноводство!D6</f>
        <v xml:space="preserve">Акбулакский </v>
      </c>
      <c r="C9" s="10" t="str">
        <f>[1]животноводство!E6</f>
        <v>Акбулак</v>
      </c>
      <c r="D9" s="10">
        <f>[1]животноводство!F6</f>
        <v>468</v>
      </c>
      <c r="E9" s="10">
        <v>131</v>
      </c>
      <c r="F9" s="10">
        <v>2923</v>
      </c>
      <c r="G9" s="15">
        <f t="shared" si="1"/>
        <v>3522</v>
      </c>
      <c r="H9" s="17">
        <v>350</v>
      </c>
      <c r="I9" s="17">
        <v>111</v>
      </c>
      <c r="J9" s="17">
        <v>938</v>
      </c>
      <c r="K9" s="15">
        <f t="shared" si="2"/>
        <v>1399</v>
      </c>
      <c r="L9" s="17">
        <f t="shared" si="0"/>
        <v>2065</v>
      </c>
      <c r="M9" s="17">
        <v>28</v>
      </c>
      <c r="N9" s="17"/>
      <c r="O9" s="15">
        <f t="shared" si="5"/>
        <v>2093</v>
      </c>
      <c r="P9" s="17">
        <f>[1]животноводство!G6</f>
        <v>850</v>
      </c>
      <c r="Q9" s="17">
        <v>595</v>
      </c>
      <c r="R9" s="17"/>
      <c r="S9" s="15">
        <f t="shared" si="3"/>
        <v>1445</v>
      </c>
      <c r="T9" s="17">
        <f>[1]животноводство!K6</f>
        <v>3</v>
      </c>
      <c r="U9" s="11">
        <v>247</v>
      </c>
      <c r="V9" s="11">
        <v>20</v>
      </c>
      <c r="W9" s="11">
        <v>10</v>
      </c>
      <c r="Z9" s="7">
        <v>2025</v>
      </c>
      <c r="AA9" s="7">
        <v>40</v>
      </c>
      <c r="AB9" s="13">
        <f t="shared" si="4"/>
        <v>2065</v>
      </c>
    </row>
    <row r="10" spans="1:28" s="12" customFormat="1" ht="31.5" customHeight="1">
      <c r="A10" s="10">
        <v>5</v>
      </c>
      <c r="B10" s="10" t="str">
        <f>[1]животноводство!D7</f>
        <v xml:space="preserve">Акбулакский </v>
      </c>
      <c r="C10" s="10" t="str">
        <f>[1]животноводство!E7</f>
        <v>Карашилик</v>
      </c>
      <c r="D10" s="10">
        <f>[1]животноводство!F7</f>
        <v>365</v>
      </c>
      <c r="E10" s="10">
        <v>168</v>
      </c>
      <c r="F10" s="10"/>
      <c r="G10" s="15">
        <f t="shared" si="1"/>
        <v>533</v>
      </c>
      <c r="H10" s="17">
        <f>[1]животноводство!O7</f>
        <v>187</v>
      </c>
      <c r="I10" s="17">
        <v>148</v>
      </c>
      <c r="J10" s="17"/>
      <c r="K10" s="15">
        <f t="shared" si="2"/>
        <v>335</v>
      </c>
      <c r="L10" s="17">
        <f t="shared" si="0"/>
        <v>673</v>
      </c>
      <c r="M10" s="17">
        <v>194</v>
      </c>
      <c r="N10" s="17"/>
      <c r="O10" s="15">
        <f t="shared" si="5"/>
        <v>867</v>
      </c>
      <c r="P10" s="17">
        <f>[1]животноводство!G7</f>
        <v>169</v>
      </c>
      <c r="Q10" s="17">
        <v>6</v>
      </c>
      <c r="R10" s="17"/>
      <c r="S10" s="15">
        <f t="shared" si="3"/>
        <v>175</v>
      </c>
      <c r="T10" s="17">
        <f>[1]животноводство!K7</f>
        <v>68</v>
      </c>
      <c r="U10" s="11">
        <f>[1]животноводство!Q7</f>
        <v>100</v>
      </c>
      <c r="V10" s="11"/>
      <c r="W10" s="11">
        <v>10</v>
      </c>
      <c r="Z10" s="7">
        <v>661</v>
      </c>
      <c r="AA10" s="7">
        <v>12</v>
      </c>
      <c r="AB10" s="13">
        <f t="shared" si="4"/>
        <v>673</v>
      </c>
    </row>
    <row r="11" spans="1:28" s="12" customFormat="1" ht="31.5" customHeight="1">
      <c r="A11" s="10">
        <v>6</v>
      </c>
      <c r="B11" s="10" t="str">
        <f>[1]животноводство!D8</f>
        <v xml:space="preserve">Акбулакский </v>
      </c>
      <c r="C11" s="10" t="str">
        <f>[1]животноводство!E8</f>
        <v>Жас Улан</v>
      </c>
      <c r="D11" s="10">
        <f>[1]животноводство!F8</f>
        <v>289</v>
      </c>
      <c r="E11" s="10">
        <v>187</v>
      </c>
      <c r="F11" s="10"/>
      <c r="G11" s="15">
        <f t="shared" si="1"/>
        <v>476</v>
      </c>
      <c r="H11" s="17">
        <v>155</v>
      </c>
      <c r="I11" s="17">
        <v>167</v>
      </c>
      <c r="J11" s="17"/>
      <c r="K11" s="15">
        <f t="shared" si="2"/>
        <v>322</v>
      </c>
      <c r="L11" s="17">
        <f t="shared" si="0"/>
        <v>215</v>
      </c>
      <c r="M11" s="17"/>
      <c r="N11" s="17"/>
      <c r="O11" s="15">
        <f t="shared" si="5"/>
        <v>215</v>
      </c>
      <c r="P11" s="17">
        <f>[1]животноводство!G8</f>
        <v>230</v>
      </c>
      <c r="Q11" s="17">
        <v>381</v>
      </c>
      <c r="R11" s="17"/>
      <c r="S11" s="15">
        <f t="shared" si="3"/>
        <v>611</v>
      </c>
      <c r="T11" s="17">
        <f>[1]животноводство!K8</f>
        <v>28</v>
      </c>
      <c r="U11" s="11">
        <f>[1]животноводство!Q8</f>
        <v>170</v>
      </c>
      <c r="V11" s="11"/>
      <c r="W11" s="11"/>
      <c r="Z11" s="7">
        <v>200</v>
      </c>
      <c r="AA11" s="7">
        <v>15</v>
      </c>
      <c r="AB11" s="13">
        <f t="shared" si="4"/>
        <v>215</v>
      </c>
    </row>
    <row r="12" spans="1:28" s="12" customFormat="1" ht="31.5" customHeight="1">
      <c r="A12" s="10">
        <v>7</v>
      </c>
      <c r="B12" s="10" t="str">
        <f>[1]животноводство!D9</f>
        <v>Амангельдинский</v>
      </c>
      <c r="C12" s="10" t="str">
        <f>[1]животноводство!E9</f>
        <v>Амангельды</v>
      </c>
      <c r="D12" s="10">
        <f>[1]животноводство!F9</f>
        <v>286</v>
      </c>
      <c r="E12" s="10">
        <v>218</v>
      </c>
      <c r="F12" s="10"/>
      <c r="G12" s="15">
        <f t="shared" si="1"/>
        <v>504</v>
      </c>
      <c r="H12" s="17">
        <v>112</v>
      </c>
      <c r="I12" s="17">
        <v>137</v>
      </c>
      <c r="J12" s="17"/>
      <c r="K12" s="15">
        <f t="shared" si="2"/>
        <v>249</v>
      </c>
      <c r="L12" s="17">
        <f t="shared" si="0"/>
        <v>402</v>
      </c>
      <c r="M12" s="17">
        <v>235</v>
      </c>
      <c r="N12" s="17"/>
      <c r="O12" s="15">
        <f t="shared" si="5"/>
        <v>637</v>
      </c>
      <c r="P12" s="17">
        <f>[1]животноводство!G9</f>
        <v>80</v>
      </c>
      <c r="Q12" s="17">
        <v>517</v>
      </c>
      <c r="R12" s="17"/>
      <c r="S12" s="15">
        <f t="shared" si="3"/>
        <v>597</v>
      </c>
      <c r="T12" s="17">
        <f>[1]животноводство!K9</f>
        <v>0</v>
      </c>
      <c r="U12" s="11">
        <v>57</v>
      </c>
      <c r="V12" s="11"/>
      <c r="W12" s="11"/>
      <c r="Z12" s="6">
        <v>402</v>
      </c>
      <c r="AA12" s="6">
        <v>0</v>
      </c>
      <c r="AB12" s="13">
        <f t="shared" si="4"/>
        <v>402</v>
      </c>
    </row>
    <row r="13" spans="1:28" s="12" customFormat="1" ht="31.5" customHeight="1">
      <c r="A13" s="10">
        <v>8</v>
      </c>
      <c r="B13" s="10" t="str">
        <f>[1]животноводство!D10</f>
        <v>Амангельдинский</v>
      </c>
      <c r="C13" s="10" t="str">
        <f>[1]животноводство!E10</f>
        <v>Тлеусай</v>
      </c>
      <c r="D13" s="10">
        <f>[1]животноводство!F10</f>
        <v>338</v>
      </c>
      <c r="E13" s="10">
        <v>23</v>
      </c>
      <c r="F13" s="10"/>
      <c r="G13" s="15">
        <f t="shared" si="1"/>
        <v>361</v>
      </c>
      <c r="H13" s="17">
        <v>271</v>
      </c>
      <c r="I13" s="17">
        <v>35</v>
      </c>
      <c r="J13" s="17"/>
      <c r="K13" s="15">
        <f t="shared" si="2"/>
        <v>306</v>
      </c>
      <c r="L13" s="17">
        <f t="shared" si="0"/>
        <v>1141</v>
      </c>
      <c r="M13" s="17">
        <v>209</v>
      </c>
      <c r="N13" s="17"/>
      <c r="O13" s="15">
        <f t="shared" si="5"/>
        <v>1350</v>
      </c>
      <c r="P13" s="17">
        <f>[1]животноводство!G10</f>
        <v>160</v>
      </c>
      <c r="Q13" s="17">
        <v>103</v>
      </c>
      <c r="R13" s="17"/>
      <c r="S13" s="15">
        <f t="shared" si="3"/>
        <v>263</v>
      </c>
      <c r="T13" s="17">
        <f>[1]животноводство!K10</f>
        <v>0</v>
      </c>
      <c r="U13" s="11">
        <f>[1]животноводство!Q10</f>
        <v>380</v>
      </c>
      <c r="V13" s="11"/>
      <c r="W13" s="11">
        <v>9</v>
      </c>
      <c r="Z13" s="6">
        <v>1141</v>
      </c>
      <c r="AA13" s="6">
        <v>0</v>
      </c>
      <c r="AB13" s="13">
        <f t="shared" si="4"/>
        <v>1141</v>
      </c>
    </row>
    <row r="14" spans="1:28" s="12" customFormat="1" ht="31.5" customHeight="1">
      <c r="A14" s="10">
        <v>9</v>
      </c>
      <c r="B14" s="10" t="str">
        <f>[1]животноводство!D11</f>
        <v>Бидайкский</v>
      </c>
      <c r="C14" s="10" t="str">
        <f>[1]животноводство!E11</f>
        <v>Бидайык</v>
      </c>
      <c r="D14" s="10">
        <f>[1]животноводство!F11</f>
        <v>825</v>
      </c>
      <c r="E14" s="10">
        <v>399</v>
      </c>
      <c r="F14" s="10"/>
      <c r="G14" s="15">
        <f t="shared" si="1"/>
        <v>1224</v>
      </c>
      <c r="H14" s="17">
        <f>[1]животноводство!O11</f>
        <v>341</v>
      </c>
      <c r="I14" s="17">
        <v>185</v>
      </c>
      <c r="J14" s="17"/>
      <c r="K14" s="15">
        <f t="shared" si="2"/>
        <v>526</v>
      </c>
      <c r="L14" s="17">
        <f t="shared" si="0"/>
        <v>2322</v>
      </c>
      <c r="M14" s="17">
        <v>289</v>
      </c>
      <c r="N14" s="17"/>
      <c r="O14" s="15">
        <f t="shared" si="5"/>
        <v>2611</v>
      </c>
      <c r="P14" s="17">
        <f>[1]животноводство!G11</f>
        <v>497</v>
      </c>
      <c r="Q14" s="17">
        <v>98</v>
      </c>
      <c r="R14" s="17"/>
      <c r="S14" s="15">
        <f t="shared" si="3"/>
        <v>595</v>
      </c>
      <c r="T14" s="17">
        <f>[1]животноводство!K11</f>
        <v>0</v>
      </c>
      <c r="U14" s="11">
        <v>1351</v>
      </c>
      <c r="V14" s="11">
        <v>21</v>
      </c>
      <c r="W14" s="11">
        <v>56</v>
      </c>
      <c r="Z14" s="6">
        <v>2294</v>
      </c>
      <c r="AA14" s="6">
        <v>28</v>
      </c>
      <c r="AB14" s="13">
        <f t="shared" si="4"/>
        <v>2322</v>
      </c>
    </row>
    <row r="15" spans="1:28" s="12" customFormat="1" ht="31.5" customHeight="1">
      <c r="A15" s="10">
        <v>10</v>
      </c>
      <c r="B15" s="10" t="str">
        <f>[1]животноводство!D12</f>
        <v>Бидайкский</v>
      </c>
      <c r="C15" s="10" t="str">
        <f>[1]животноводство!E12</f>
        <v>Ондирис</v>
      </c>
      <c r="D15" s="10">
        <f>[1]животноводство!F12</f>
        <v>425</v>
      </c>
      <c r="E15" s="10">
        <v>238</v>
      </c>
      <c r="F15" s="10"/>
      <c r="G15" s="15">
        <f t="shared" si="1"/>
        <v>663</v>
      </c>
      <c r="H15" s="17">
        <f>[1]животноводство!O12</f>
        <v>316</v>
      </c>
      <c r="I15" s="17">
        <v>140</v>
      </c>
      <c r="J15" s="17"/>
      <c r="K15" s="15">
        <f t="shared" si="2"/>
        <v>456</v>
      </c>
      <c r="L15" s="17">
        <f t="shared" si="0"/>
        <v>1645</v>
      </c>
      <c r="M15" s="17">
        <v>45</v>
      </c>
      <c r="N15" s="17"/>
      <c r="O15" s="15">
        <f t="shared" si="5"/>
        <v>1690</v>
      </c>
      <c r="P15" s="17">
        <f>[1]животноводство!G12</f>
        <v>538</v>
      </c>
      <c r="Q15" s="17">
        <v>60</v>
      </c>
      <c r="R15" s="17"/>
      <c r="S15" s="15">
        <f t="shared" si="3"/>
        <v>598</v>
      </c>
      <c r="T15" s="17">
        <f>[1]животноводство!K12</f>
        <v>0</v>
      </c>
      <c r="U15" s="11">
        <v>395</v>
      </c>
      <c r="V15" s="11">
        <v>20</v>
      </c>
      <c r="W15" s="11">
        <v>55</v>
      </c>
      <c r="Z15" s="6">
        <v>1645</v>
      </c>
      <c r="AA15" s="6">
        <v>0</v>
      </c>
      <c r="AB15" s="13">
        <f t="shared" si="4"/>
        <v>1645</v>
      </c>
    </row>
    <row r="16" spans="1:28" s="12" customFormat="1" ht="31.5" customHeight="1">
      <c r="A16" s="10">
        <v>11</v>
      </c>
      <c r="B16" s="10" t="str">
        <f>[1]животноводство!D13</f>
        <v>Бидайкский</v>
      </c>
      <c r="C16" s="10" t="str">
        <f>[1]животноводство!E13</f>
        <v>Жамбыл</v>
      </c>
      <c r="D16" s="10">
        <f>[1]животноводство!F13</f>
        <v>346</v>
      </c>
      <c r="E16" s="10">
        <v>38</v>
      </c>
      <c r="F16" s="10"/>
      <c r="G16" s="15">
        <v>390</v>
      </c>
      <c r="H16" s="17">
        <f>[1]животноводство!O13</f>
        <v>154</v>
      </c>
      <c r="I16" s="17">
        <v>17</v>
      </c>
      <c r="J16" s="17"/>
      <c r="K16" s="15">
        <f t="shared" si="2"/>
        <v>171</v>
      </c>
      <c r="L16" s="17">
        <f t="shared" si="0"/>
        <v>1500</v>
      </c>
      <c r="M16" s="17">
        <v>19</v>
      </c>
      <c r="N16" s="17"/>
      <c r="O16" s="15">
        <f t="shared" si="5"/>
        <v>1519</v>
      </c>
      <c r="P16" s="17">
        <f>[1]животноводство!G13</f>
        <v>386</v>
      </c>
      <c r="Q16" s="17">
        <v>18</v>
      </c>
      <c r="R16" s="17"/>
      <c r="S16" s="15">
        <f t="shared" si="3"/>
        <v>404</v>
      </c>
      <c r="T16" s="17">
        <f>[1]животноводство!K13</f>
        <v>0</v>
      </c>
      <c r="U16" s="11">
        <v>467</v>
      </c>
      <c r="V16" s="11"/>
      <c r="W16" s="11">
        <v>45</v>
      </c>
      <c r="Z16" s="6">
        <v>1469</v>
      </c>
      <c r="AA16" s="6">
        <v>31</v>
      </c>
      <c r="AB16" s="13">
        <f t="shared" si="4"/>
        <v>1500</v>
      </c>
    </row>
    <row r="17" spans="1:28" s="12" customFormat="1" ht="31.5" customHeight="1">
      <c r="A17" s="10">
        <v>12</v>
      </c>
      <c r="B17" s="10" t="str">
        <f>[1]животноводство!D14</f>
        <v>Кишкенекольский</v>
      </c>
      <c r="C17" s="10" t="str">
        <f>[1]животноводство!E14</f>
        <v>Кишкенеколь</v>
      </c>
      <c r="D17" s="10">
        <f>[1]животноводство!F14</f>
        <v>1069</v>
      </c>
      <c r="E17" s="10">
        <v>2172</v>
      </c>
      <c r="F17" s="10">
        <v>13</v>
      </c>
      <c r="G17" s="15">
        <f t="shared" si="1"/>
        <v>3254</v>
      </c>
      <c r="H17" s="17">
        <f>[1]животноводство!O14</f>
        <v>624</v>
      </c>
      <c r="I17" s="17">
        <v>1668</v>
      </c>
      <c r="J17" s="17"/>
      <c r="K17" s="15">
        <f t="shared" si="2"/>
        <v>2292</v>
      </c>
      <c r="L17" s="17">
        <v>3344</v>
      </c>
      <c r="M17" s="17">
        <v>676</v>
      </c>
      <c r="N17" s="17">
        <v>1487</v>
      </c>
      <c r="O17" s="15">
        <f t="shared" si="5"/>
        <v>5507</v>
      </c>
      <c r="P17" s="17">
        <f>[1]животноводство!G14</f>
        <v>967</v>
      </c>
      <c r="Q17" s="17">
        <v>3567</v>
      </c>
      <c r="R17" s="17">
        <v>2190</v>
      </c>
      <c r="S17" s="15">
        <f t="shared" si="3"/>
        <v>6724</v>
      </c>
      <c r="T17" s="17">
        <f>[1]животноводство!K14</f>
        <v>20</v>
      </c>
      <c r="U17" s="11">
        <v>1395</v>
      </c>
      <c r="V17" s="11">
        <v>44</v>
      </c>
      <c r="W17" s="11">
        <v>241</v>
      </c>
      <c r="Z17" s="7">
        <v>3282</v>
      </c>
      <c r="AA17" s="7">
        <v>53</v>
      </c>
      <c r="AB17" s="13">
        <f t="shared" si="4"/>
        <v>3335</v>
      </c>
    </row>
    <row r="18" spans="1:28" s="12" customFormat="1" ht="31.5" customHeight="1">
      <c r="A18" s="10">
        <v>13</v>
      </c>
      <c r="B18" s="10" t="str">
        <f>[1]животноводство!D15</f>
        <v xml:space="preserve">Коктерекский </v>
      </c>
      <c r="C18" s="10" t="str">
        <f>[1]животноводство!E15</f>
        <v>Мортык</v>
      </c>
      <c r="D18" s="10">
        <f>[1]животноводство!F15</f>
        <v>326</v>
      </c>
      <c r="E18" s="10">
        <v>41</v>
      </c>
      <c r="F18" s="10"/>
      <c r="G18" s="15">
        <f t="shared" si="1"/>
        <v>367</v>
      </c>
      <c r="H18" s="17">
        <f>[1]животноводство!O15</f>
        <v>130</v>
      </c>
      <c r="I18" s="17">
        <v>25</v>
      </c>
      <c r="J18" s="17"/>
      <c r="K18" s="15">
        <f t="shared" si="2"/>
        <v>155</v>
      </c>
      <c r="L18" s="17">
        <f t="shared" si="0"/>
        <v>1941</v>
      </c>
      <c r="M18" s="17">
        <v>76</v>
      </c>
      <c r="N18" s="17"/>
      <c r="O18" s="15">
        <f t="shared" si="5"/>
        <v>2017</v>
      </c>
      <c r="P18" s="17">
        <f>[1]животноводство!G15</f>
        <v>1009</v>
      </c>
      <c r="Q18" s="17">
        <v>215</v>
      </c>
      <c r="R18" s="17"/>
      <c r="S18" s="15">
        <f t="shared" si="3"/>
        <v>1224</v>
      </c>
      <c r="T18" s="17">
        <f>[1]животноводство!K15</f>
        <v>0</v>
      </c>
      <c r="U18" s="11">
        <v>436</v>
      </c>
      <c r="V18" s="11">
        <v>14</v>
      </c>
      <c r="W18" s="11">
        <v>43</v>
      </c>
      <c r="Z18" s="7">
        <v>1941</v>
      </c>
      <c r="AA18" s="7">
        <v>0</v>
      </c>
      <c r="AB18" s="13">
        <f t="shared" si="4"/>
        <v>1941</v>
      </c>
    </row>
    <row r="19" spans="1:28" s="12" customFormat="1" ht="31.5" customHeight="1">
      <c r="A19" s="10">
        <v>14</v>
      </c>
      <c r="B19" s="10" t="str">
        <f>[1]животноводство!D16</f>
        <v xml:space="preserve">Коктерекский </v>
      </c>
      <c r="C19" s="10" t="str">
        <f>[1]животноводство!E16</f>
        <v>Коктерек</v>
      </c>
      <c r="D19" s="10">
        <f>[1]животноводство!F16</f>
        <v>201</v>
      </c>
      <c r="E19" s="10"/>
      <c r="F19" s="10"/>
      <c r="G19" s="15">
        <f t="shared" si="1"/>
        <v>201</v>
      </c>
      <c r="H19" s="17">
        <f>[1]животноводство!O16</f>
        <v>93</v>
      </c>
      <c r="I19" s="17"/>
      <c r="J19" s="17"/>
      <c r="K19" s="15">
        <f t="shared" si="2"/>
        <v>93</v>
      </c>
      <c r="L19" s="17">
        <f t="shared" si="0"/>
        <v>840</v>
      </c>
      <c r="M19" s="17"/>
      <c r="N19" s="17"/>
      <c r="O19" s="15">
        <f t="shared" si="5"/>
        <v>840</v>
      </c>
      <c r="P19" s="17">
        <f>[1]животноводство!G16</f>
        <v>358</v>
      </c>
      <c r="Q19" s="17">
        <v>72</v>
      </c>
      <c r="R19" s="17"/>
      <c r="S19" s="15">
        <f t="shared" si="3"/>
        <v>430</v>
      </c>
      <c r="T19" s="17">
        <f>[1]животноводство!K16</f>
        <v>0</v>
      </c>
      <c r="U19" s="11">
        <v>203</v>
      </c>
      <c r="V19" s="11"/>
      <c r="W19" s="11">
        <v>40</v>
      </c>
      <c r="Z19" s="7">
        <v>840</v>
      </c>
      <c r="AA19" s="7">
        <v>0</v>
      </c>
      <c r="AB19" s="13">
        <f t="shared" si="4"/>
        <v>840</v>
      </c>
    </row>
    <row r="20" spans="1:28" s="12" customFormat="1" ht="31.5" customHeight="1">
      <c r="A20" s="10">
        <v>15</v>
      </c>
      <c r="B20" s="10" t="str">
        <f>[1]животноводство!D17</f>
        <v>Кайратский</v>
      </c>
      <c r="C20" s="10" t="str">
        <f>[1]животноводство!E17</f>
        <v>Кайрат</v>
      </c>
      <c r="D20" s="10">
        <f>[1]животноводство!F17</f>
        <v>540</v>
      </c>
      <c r="E20" s="10">
        <v>1102</v>
      </c>
      <c r="F20" s="10">
        <v>781</v>
      </c>
      <c r="G20" s="15">
        <f t="shared" si="1"/>
        <v>2423</v>
      </c>
      <c r="H20" s="17">
        <f>[1]животноводство!O17</f>
        <v>324</v>
      </c>
      <c r="I20" s="17">
        <v>632</v>
      </c>
      <c r="J20" s="17">
        <v>359</v>
      </c>
      <c r="K20" s="15">
        <f t="shared" si="2"/>
        <v>1315</v>
      </c>
      <c r="L20" s="17">
        <f t="shared" si="0"/>
        <v>715</v>
      </c>
      <c r="M20" s="17">
        <v>507</v>
      </c>
      <c r="N20" s="17"/>
      <c r="O20" s="15">
        <f t="shared" si="5"/>
        <v>1222</v>
      </c>
      <c r="P20" s="17">
        <f>[1]животноводство!G17</f>
        <v>368</v>
      </c>
      <c r="Q20" s="17">
        <v>854</v>
      </c>
      <c r="R20" s="17">
        <v>44</v>
      </c>
      <c r="S20" s="15">
        <f t="shared" si="3"/>
        <v>1266</v>
      </c>
      <c r="T20" s="17">
        <f>[1]животноводство!K17</f>
        <v>0</v>
      </c>
      <c r="U20" s="11">
        <v>156</v>
      </c>
      <c r="V20" s="11"/>
      <c r="W20" s="11"/>
      <c r="Z20" s="8">
        <v>708</v>
      </c>
      <c r="AA20" s="8">
        <v>7</v>
      </c>
      <c r="AB20" s="13">
        <f t="shared" si="4"/>
        <v>715</v>
      </c>
    </row>
    <row r="21" spans="1:28" s="12" customFormat="1" ht="31.5" customHeight="1">
      <c r="A21" s="10">
        <v>16</v>
      </c>
      <c r="B21" s="10" t="str">
        <f>[1]животноводство!D18</f>
        <v>Кайратский</v>
      </c>
      <c r="C21" s="10" t="str">
        <f>[1]животноводство!E18</f>
        <v>Жаскайрат</v>
      </c>
      <c r="D21" s="10">
        <f>[1]животноводство!F18</f>
        <v>338</v>
      </c>
      <c r="E21" s="10">
        <v>418</v>
      </c>
      <c r="F21" s="10"/>
      <c r="G21" s="15">
        <f t="shared" si="1"/>
        <v>756</v>
      </c>
      <c r="H21" s="17">
        <f>[1]животноводство!O18</f>
        <v>255</v>
      </c>
      <c r="I21" s="17">
        <v>392</v>
      </c>
      <c r="J21" s="17"/>
      <c r="K21" s="15">
        <f t="shared" si="2"/>
        <v>647</v>
      </c>
      <c r="L21" s="17">
        <f t="shared" si="0"/>
        <v>439</v>
      </c>
      <c r="M21" s="17">
        <v>258</v>
      </c>
      <c r="N21" s="17"/>
      <c r="O21" s="15">
        <f t="shared" si="5"/>
        <v>697</v>
      </c>
      <c r="P21" s="17">
        <f>[1]животноводство!G18</f>
        <v>201</v>
      </c>
      <c r="Q21" s="17">
        <v>206</v>
      </c>
      <c r="R21" s="17"/>
      <c r="S21" s="15">
        <f t="shared" si="3"/>
        <v>407</v>
      </c>
      <c r="T21" s="17">
        <f>[1]животноводство!K18</f>
        <v>0</v>
      </c>
      <c r="U21" s="11">
        <f>[1]животноводство!Q18</f>
        <v>25</v>
      </c>
      <c r="V21" s="11"/>
      <c r="W21" s="11"/>
      <c r="Z21" s="7">
        <v>431</v>
      </c>
      <c r="AA21" s="7">
        <v>8</v>
      </c>
      <c r="AB21" s="13">
        <f t="shared" si="4"/>
        <v>439</v>
      </c>
    </row>
    <row r="22" spans="1:28" s="12" customFormat="1" ht="31.5" customHeight="1">
      <c r="A22" s="10">
        <v>17</v>
      </c>
      <c r="B22" s="10" t="str">
        <f>[1]животноводство!D19</f>
        <v>Карасуский</v>
      </c>
      <c r="C22" s="10" t="str">
        <f>[1]животноводство!E19</f>
        <v>Аккудык</v>
      </c>
      <c r="D22" s="10">
        <f>[1]животноводство!F19</f>
        <v>425</v>
      </c>
      <c r="E22" s="10">
        <v>580</v>
      </c>
      <c r="F22" s="10"/>
      <c r="G22" s="15">
        <f t="shared" si="1"/>
        <v>1005</v>
      </c>
      <c r="H22" s="17">
        <f>[1]животноводство!O19</f>
        <v>249</v>
      </c>
      <c r="I22" s="17">
        <v>520</v>
      </c>
      <c r="J22" s="17"/>
      <c r="K22" s="15">
        <f t="shared" si="2"/>
        <v>769</v>
      </c>
      <c r="L22" s="17">
        <f t="shared" si="0"/>
        <v>488</v>
      </c>
      <c r="M22" s="17">
        <v>325</v>
      </c>
      <c r="N22" s="17"/>
      <c r="O22" s="15">
        <f t="shared" si="5"/>
        <v>813</v>
      </c>
      <c r="P22" s="17">
        <f>[1]животноводство!G19</f>
        <v>340</v>
      </c>
      <c r="Q22" s="17">
        <v>2075</v>
      </c>
      <c r="R22" s="17"/>
      <c r="S22" s="15">
        <f t="shared" si="3"/>
        <v>2415</v>
      </c>
      <c r="T22" s="17">
        <f>[1]животноводство!K19</f>
        <v>0</v>
      </c>
      <c r="U22" s="11">
        <v>303</v>
      </c>
      <c r="V22" s="11"/>
      <c r="W22" s="11">
        <v>4</v>
      </c>
      <c r="Z22" s="7">
        <v>359</v>
      </c>
      <c r="AA22" s="7">
        <v>129</v>
      </c>
      <c r="AB22" s="13">
        <f t="shared" si="4"/>
        <v>488</v>
      </c>
    </row>
    <row r="23" spans="1:28" s="12" customFormat="1" ht="31.5" customHeight="1">
      <c r="A23" s="10">
        <v>18</v>
      </c>
      <c r="B23" s="10" t="str">
        <f>[1]животноводство!D20</f>
        <v>Карасуский</v>
      </c>
      <c r="C23" s="10" t="str">
        <f>[1]животноводство!E20</f>
        <v>Золотая Нива</v>
      </c>
      <c r="D23" s="10">
        <f>[1]животноводство!F20</f>
        <v>177</v>
      </c>
      <c r="E23" s="10">
        <v>446</v>
      </c>
      <c r="F23" s="10">
        <v>24</v>
      </c>
      <c r="G23" s="15">
        <f t="shared" si="1"/>
        <v>647</v>
      </c>
      <c r="H23" s="17">
        <f>[1]животноводство!O20</f>
        <v>83</v>
      </c>
      <c r="I23" s="17">
        <v>347</v>
      </c>
      <c r="J23" s="17">
        <v>20</v>
      </c>
      <c r="K23" s="15">
        <f t="shared" si="2"/>
        <v>450</v>
      </c>
      <c r="L23" s="17">
        <v>142</v>
      </c>
      <c r="M23" s="17">
        <v>339</v>
      </c>
      <c r="N23" s="17"/>
      <c r="O23" s="15">
        <f t="shared" si="5"/>
        <v>481</v>
      </c>
      <c r="P23" s="17">
        <f>[1]животноводство!G20</f>
        <v>108</v>
      </c>
      <c r="Q23" s="17">
        <v>707</v>
      </c>
      <c r="R23" s="17">
        <v>2664</v>
      </c>
      <c r="S23" s="15">
        <f t="shared" si="3"/>
        <v>3479</v>
      </c>
      <c r="T23" s="17">
        <f>[1]животноводство!K20</f>
        <v>0</v>
      </c>
      <c r="U23" s="11">
        <f>[1]животноводство!Q20</f>
        <v>92</v>
      </c>
      <c r="V23" s="11"/>
      <c r="W23" s="11"/>
      <c r="Z23" s="7">
        <v>140</v>
      </c>
      <c r="AA23" s="7">
        <v>7</v>
      </c>
      <c r="AB23" s="13">
        <f t="shared" si="4"/>
        <v>147</v>
      </c>
    </row>
    <row r="24" spans="1:28" s="12" customFormat="1" ht="31.5" customHeight="1">
      <c r="A24" s="10">
        <v>19</v>
      </c>
      <c r="B24" s="10" t="str">
        <f>[1]животноводство!D21</f>
        <v>Каратерекский</v>
      </c>
      <c r="C24" s="10" t="str">
        <f>[1]животноводство!E21</f>
        <v>Каратерек</v>
      </c>
      <c r="D24" s="10">
        <f>[1]животноводство!F21</f>
        <v>102</v>
      </c>
      <c r="E24" s="10">
        <v>165</v>
      </c>
      <c r="F24" s="10">
        <v>77</v>
      </c>
      <c r="G24" s="15">
        <f t="shared" si="1"/>
        <v>344</v>
      </c>
      <c r="H24" s="17">
        <f>[1]животноводство!O21</f>
        <v>55</v>
      </c>
      <c r="I24" s="17">
        <v>142</v>
      </c>
      <c r="J24" s="17">
        <v>43</v>
      </c>
      <c r="K24" s="15">
        <f t="shared" si="2"/>
        <v>240</v>
      </c>
      <c r="L24" s="17">
        <f t="shared" si="0"/>
        <v>690</v>
      </c>
      <c r="M24" s="17">
        <v>37</v>
      </c>
      <c r="N24" s="17"/>
      <c r="O24" s="15">
        <f t="shared" si="5"/>
        <v>727</v>
      </c>
      <c r="P24" s="17">
        <f>[1]животноводство!G21</f>
        <v>161</v>
      </c>
      <c r="Q24" s="17">
        <v>5</v>
      </c>
      <c r="R24" s="17"/>
      <c r="S24" s="15">
        <f t="shared" si="3"/>
        <v>166</v>
      </c>
      <c r="T24" s="17">
        <f>[1]животноводство!K21</f>
        <v>0</v>
      </c>
      <c r="U24" s="11">
        <v>399</v>
      </c>
      <c r="V24" s="11"/>
      <c r="W24" s="11"/>
      <c r="Z24" s="6">
        <v>690</v>
      </c>
      <c r="AA24" s="6">
        <v>0</v>
      </c>
      <c r="AB24" s="13">
        <f t="shared" si="4"/>
        <v>690</v>
      </c>
    </row>
    <row r="25" spans="1:28" s="12" customFormat="1" ht="31.5" customHeight="1">
      <c r="A25" s="10">
        <v>20</v>
      </c>
      <c r="B25" s="10" t="str">
        <f>[1]животноводство!D22</f>
        <v>Кулыкольский</v>
      </c>
      <c r="C25" s="10" t="str">
        <f>[1]животноводство!E22</f>
        <v>Кулыколь</v>
      </c>
      <c r="D25" s="10">
        <f>[1]животноводство!F22</f>
        <v>2776</v>
      </c>
      <c r="E25" s="10">
        <v>2006</v>
      </c>
      <c r="F25" s="10">
        <v>767</v>
      </c>
      <c r="G25" s="15">
        <f t="shared" si="1"/>
        <v>5549</v>
      </c>
      <c r="H25" s="17">
        <f>[1]животноводство!O22</f>
        <v>1364</v>
      </c>
      <c r="I25" s="17">
        <v>1142</v>
      </c>
      <c r="J25" s="17">
        <v>469</v>
      </c>
      <c r="K25" s="15">
        <f t="shared" si="2"/>
        <v>2975</v>
      </c>
      <c r="L25" s="17">
        <v>2044</v>
      </c>
      <c r="M25" s="17">
        <v>1096</v>
      </c>
      <c r="N25" s="17"/>
      <c r="O25" s="15">
        <f t="shared" si="5"/>
        <v>3140</v>
      </c>
      <c r="P25" s="17">
        <f>[1]животноводство!G22</f>
        <v>817</v>
      </c>
      <c r="Q25" s="17">
        <v>780</v>
      </c>
      <c r="R25" s="17"/>
      <c r="S25" s="15">
        <f t="shared" si="3"/>
        <v>1597</v>
      </c>
      <c r="T25" s="17">
        <f>[1]животноводство!K22</f>
        <v>0</v>
      </c>
      <c r="U25" s="11">
        <v>551</v>
      </c>
      <c r="V25" s="11"/>
      <c r="W25" s="11">
        <v>26</v>
      </c>
      <c r="Z25" s="6">
        <v>1887</v>
      </c>
      <c r="AA25" s="6">
        <v>161</v>
      </c>
      <c r="AB25" s="13">
        <f t="shared" si="4"/>
        <v>2048</v>
      </c>
    </row>
    <row r="26" spans="1:28" s="12" customFormat="1" ht="31.5" customHeight="1">
      <c r="A26" s="10">
        <v>21</v>
      </c>
      <c r="B26" s="10" t="str">
        <f>[1]животноводство!D23</f>
        <v>Кулыкольский</v>
      </c>
      <c r="C26" s="10" t="str">
        <f>[1]животноводство!E23</f>
        <v>Каратал</v>
      </c>
      <c r="D26" s="10">
        <f>[1]животноводство!F23</f>
        <v>1137</v>
      </c>
      <c r="E26" s="10">
        <v>732</v>
      </c>
      <c r="F26" s="10"/>
      <c r="G26" s="15">
        <f t="shared" si="1"/>
        <v>1869</v>
      </c>
      <c r="H26" s="17">
        <f>[1]животноводство!O23</f>
        <v>856</v>
      </c>
      <c r="I26" s="17">
        <v>609</v>
      </c>
      <c r="J26" s="17"/>
      <c r="K26" s="15">
        <f t="shared" si="2"/>
        <v>1465</v>
      </c>
      <c r="L26" s="17">
        <f t="shared" si="0"/>
        <v>713</v>
      </c>
      <c r="M26" s="17">
        <v>372</v>
      </c>
      <c r="N26" s="17"/>
      <c r="O26" s="15">
        <f t="shared" si="5"/>
        <v>1085</v>
      </c>
      <c r="P26" s="17">
        <f>[1]животноводство!G23</f>
        <v>307</v>
      </c>
      <c r="Q26" s="17">
        <v>402</v>
      </c>
      <c r="R26" s="17"/>
      <c r="S26" s="15">
        <f t="shared" si="3"/>
        <v>709</v>
      </c>
      <c r="T26" s="17">
        <f>[1]животноводство!K23</f>
        <v>0</v>
      </c>
      <c r="U26" s="11">
        <f>[1]животноводство!Q23</f>
        <v>135</v>
      </c>
      <c r="V26" s="11"/>
      <c r="W26" s="11">
        <v>10</v>
      </c>
      <c r="Z26" s="6">
        <v>581</v>
      </c>
      <c r="AA26" s="6">
        <v>132</v>
      </c>
      <c r="AB26" s="13">
        <f t="shared" si="4"/>
        <v>713</v>
      </c>
    </row>
    <row r="27" spans="1:28" s="12" customFormat="1" ht="31.5" customHeight="1">
      <c r="A27" s="10">
        <v>22</v>
      </c>
      <c r="B27" s="10" t="str">
        <f>[1]животноводство!D24</f>
        <v>Кулыкольский</v>
      </c>
      <c r="C27" s="10" t="str">
        <f>[1]животноводство!E24</f>
        <v>Береке</v>
      </c>
      <c r="D27" s="10">
        <f>[1]животноводство!F24</f>
        <v>668</v>
      </c>
      <c r="E27" s="10">
        <v>665</v>
      </c>
      <c r="F27" s="10"/>
      <c r="G27" s="15">
        <f t="shared" si="1"/>
        <v>1333</v>
      </c>
      <c r="H27" s="17">
        <f>[1]животноводство!O24</f>
        <v>563</v>
      </c>
      <c r="I27" s="17">
        <v>338</v>
      </c>
      <c r="J27" s="17"/>
      <c r="K27" s="15">
        <f t="shared" si="2"/>
        <v>901</v>
      </c>
      <c r="L27" s="17">
        <f t="shared" si="0"/>
        <v>351</v>
      </c>
      <c r="M27" s="17">
        <v>141</v>
      </c>
      <c r="N27" s="17"/>
      <c r="O27" s="15">
        <f t="shared" si="5"/>
        <v>492</v>
      </c>
      <c r="P27" s="17">
        <f>[1]животноводство!G24</f>
        <v>157</v>
      </c>
      <c r="Q27" s="17">
        <v>290</v>
      </c>
      <c r="R27" s="17"/>
      <c r="S27" s="15">
        <f t="shared" si="3"/>
        <v>447</v>
      </c>
      <c r="T27" s="17">
        <f>[1]животноводство!K24</f>
        <v>0</v>
      </c>
      <c r="U27" s="11">
        <f>[1]животноводство!Q24</f>
        <v>41</v>
      </c>
      <c r="V27" s="11"/>
      <c r="W27" s="11"/>
      <c r="Z27" s="6">
        <v>297</v>
      </c>
      <c r="AA27" s="6">
        <v>54</v>
      </c>
      <c r="AB27" s="13">
        <f t="shared" si="4"/>
        <v>351</v>
      </c>
    </row>
    <row r="28" spans="1:28" s="12" customFormat="1" ht="31.5" customHeight="1">
      <c r="A28" s="10">
        <v>23</v>
      </c>
      <c r="B28" s="10" t="str">
        <f>[1]животноводство!D25</f>
        <v>Тельжанский</v>
      </c>
      <c r="C28" s="10" t="str">
        <f>[1]животноводство!E25</f>
        <v>Тельжан</v>
      </c>
      <c r="D28" s="10">
        <f>[1]животноводство!F25</f>
        <v>173</v>
      </c>
      <c r="E28" s="10">
        <v>8</v>
      </c>
      <c r="F28" s="10"/>
      <c r="G28" s="15">
        <f t="shared" si="1"/>
        <v>181</v>
      </c>
      <c r="H28" s="17">
        <f>[1]животноводство!O25</f>
        <v>92</v>
      </c>
      <c r="I28" s="17">
        <v>4</v>
      </c>
      <c r="J28" s="17"/>
      <c r="K28" s="15">
        <f t="shared" si="2"/>
        <v>96</v>
      </c>
      <c r="L28" s="17">
        <f t="shared" si="0"/>
        <v>1132</v>
      </c>
      <c r="M28" s="17">
        <v>67</v>
      </c>
      <c r="N28" s="17"/>
      <c r="O28" s="15">
        <f t="shared" si="5"/>
        <v>1199</v>
      </c>
      <c r="P28" s="17">
        <f>[1]животноводство!G25</f>
        <v>236</v>
      </c>
      <c r="Q28" s="17">
        <v>230</v>
      </c>
      <c r="R28" s="17">
        <v>112</v>
      </c>
      <c r="S28" s="15">
        <f t="shared" si="3"/>
        <v>578</v>
      </c>
      <c r="T28" s="17">
        <f>[1]животноводство!K25</f>
        <v>0</v>
      </c>
      <c r="U28" s="11">
        <v>641</v>
      </c>
      <c r="V28" s="11"/>
      <c r="W28" s="11">
        <v>7</v>
      </c>
      <c r="Z28" s="6">
        <v>1132</v>
      </c>
      <c r="AA28" s="6">
        <v>0</v>
      </c>
      <c r="AB28" s="13">
        <f t="shared" si="4"/>
        <v>1132</v>
      </c>
    </row>
    <row r="29" spans="1:28" s="12" customFormat="1" ht="31.5" customHeight="1">
      <c r="A29" s="10">
        <v>24</v>
      </c>
      <c r="B29" s="10" t="str">
        <f>[1]животноводство!D26</f>
        <v>Тельжанский</v>
      </c>
      <c r="C29" s="10" t="str">
        <f>[1]животноводство!E26</f>
        <v>Кобенсай</v>
      </c>
      <c r="D29" s="10">
        <f>[1]животноводство!F26</f>
        <v>256</v>
      </c>
      <c r="E29" s="10"/>
      <c r="F29" s="10"/>
      <c r="G29" s="15">
        <f t="shared" si="1"/>
        <v>256</v>
      </c>
      <c r="H29" s="17">
        <f>[1]животноводство!O26</f>
        <v>167</v>
      </c>
      <c r="I29" s="17"/>
      <c r="J29" s="17"/>
      <c r="K29" s="15">
        <f t="shared" si="2"/>
        <v>167</v>
      </c>
      <c r="L29" s="17">
        <f t="shared" si="0"/>
        <v>1059</v>
      </c>
      <c r="M29" s="17"/>
      <c r="N29" s="17"/>
      <c r="O29" s="15">
        <f t="shared" si="5"/>
        <v>1059</v>
      </c>
      <c r="P29" s="17">
        <f>[1]животноводство!G26</f>
        <v>291</v>
      </c>
      <c r="Q29" s="17">
        <v>240</v>
      </c>
      <c r="R29" s="17"/>
      <c r="S29" s="15">
        <f t="shared" si="3"/>
        <v>531</v>
      </c>
      <c r="T29" s="17">
        <f>[1]животноводство!K26</f>
        <v>0</v>
      </c>
      <c r="U29" s="11">
        <f>[1]животноводство!Q26</f>
        <v>770</v>
      </c>
      <c r="V29" s="11"/>
      <c r="W29" s="11"/>
      <c r="Z29" s="6">
        <v>1059</v>
      </c>
      <c r="AA29" s="6">
        <v>0</v>
      </c>
      <c r="AB29" s="13">
        <f t="shared" si="4"/>
        <v>1059</v>
      </c>
    </row>
    <row r="30" spans="1:28" s="21" customFormat="1" ht="27" customHeight="1">
      <c r="A30" s="28" t="s">
        <v>3</v>
      </c>
      <c r="B30" s="29"/>
      <c r="C30" s="30"/>
      <c r="D30" s="20">
        <f>SUM(D6:D29)</f>
        <v>12137</v>
      </c>
      <c r="E30" s="20">
        <f t="shared" ref="E30:F30" si="6">SUM(E6:E29)</f>
        <v>10250</v>
      </c>
      <c r="F30" s="20">
        <f t="shared" si="6"/>
        <v>9022</v>
      </c>
      <c r="G30" s="14">
        <f>SUM(G6:G29)</f>
        <v>31415</v>
      </c>
      <c r="H30" s="14">
        <f t="shared" ref="H30:W30" si="7">SUM(H6:H29)</f>
        <v>7041</v>
      </c>
      <c r="I30" s="14">
        <f t="shared" si="7"/>
        <v>7137</v>
      </c>
      <c r="J30" s="14">
        <f t="shared" si="7"/>
        <v>3218</v>
      </c>
      <c r="K30" s="14">
        <f t="shared" si="7"/>
        <v>17396</v>
      </c>
      <c r="L30" s="14">
        <f t="shared" si="7"/>
        <v>25870</v>
      </c>
      <c r="M30" s="14">
        <f t="shared" si="7"/>
        <v>5218</v>
      </c>
      <c r="N30" s="14">
        <f t="shared" si="7"/>
        <v>2590</v>
      </c>
      <c r="O30" s="14">
        <f t="shared" si="7"/>
        <v>33678</v>
      </c>
      <c r="P30" s="14">
        <f t="shared" si="7"/>
        <v>8847</v>
      </c>
      <c r="Q30" s="14">
        <f t="shared" si="7"/>
        <v>11811</v>
      </c>
      <c r="R30" s="14">
        <f t="shared" si="7"/>
        <v>5019</v>
      </c>
      <c r="S30" s="14">
        <f t="shared" si="7"/>
        <v>25677</v>
      </c>
      <c r="T30" s="14">
        <f t="shared" si="7"/>
        <v>134</v>
      </c>
      <c r="U30" s="14">
        <f t="shared" si="7"/>
        <v>9344</v>
      </c>
      <c r="V30" s="14">
        <f t="shared" si="7"/>
        <v>125</v>
      </c>
      <c r="W30" s="14">
        <f t="shared" si="7"/>
        <v>629</v>
      </c>
      <c r="Z30" s="9">
        <f t="shared" ref="Z30:AA30" si="8">SUM(Z6:Z29)</f>
        <v>25181</v>
      </c>
      <c r="AA30" s="9">
        <f t="shared" si="8"/>
        <v>689</v>
      </c>
      <c r="AB30" s="22">
        <f t="shared" si="4"/>
        <v>25870</v>
      </c>
    </row>
    <row r="31" spans="1:28" ht="15.75"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18"/>
      <c r="Q31" s="18"/>
      <c r="R31" s="18"/>
      <c r="S31" s="18"/>
      <c r="T31" s="5"/>
      <c r="U31" s="5"/>
      <c r="V31" s="4"/>
    </row>
    <row r="32" spans="1:28">
      <c r="D32" s="4"/>
      <c r="E32" s="4"/>
      <c r="F32" s="4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4"/>
      <c r="V32" s="4"/>
    </row>
  </sheetData>
  <mergeCells count="24">
    <mergeCell ref="A30:C30"/>
    <mergeCell ref="L4:L5"/>
    <mergeCell ref="P4:P5"/>
    <mergeCell ref="T4:T5"/>
    <mergeCell ref="U4:W4"/>
    <mergeCell ref="B4:B5"/>
    <mergeCell ref="E4:E5"/>
    <mergeCell ref="I4:I5"/>
    <mergeCell ref="F4:F5"/>
    <mergeCell ref="J4:J5"/>
    <mergeCell ref="K4:K5"/>
    <mergeCell ref="G4:G5"/>
    <mergeCell ref="M4:M5"/>
    <mergeCell ref="N4:N5"/>
    <mergeCell ref="O4:O5"/>
    <mergeCell ref="Q4:Q5"/>
    <mergeCell ref="A1:U1"/>
    <mergeCell ref="A2:U2"/>
    <mergeCell ref="A4:A5"/>
    <mergeCell ref="C4:C5"/>
    <mergeCell ref="D4:D5"/>
    <mergeCell ref="H4:H5"/>
    <mergeCell ref="R4:R5"/>
    <mergeCell ref="S4:S5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User</cp:lastModifiedBy>
  <cp:lastPrinted>2021-08-05T06:38:30Z</cp:lastPrinted>
  <dcterms:created xsi:type="dcterms:W3CDTF">2021-08-05T05:28:52Z</dcterms:created>
  <dcterms:modified xsi:type="dcterms:W3CDTF">2026-10-13T10:16:14Z</dcterms:modified>
</cp:coreProperties>
</file>