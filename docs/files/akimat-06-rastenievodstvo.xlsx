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Z8" i="1"/>
  <c r="Z9"/>
  <c r="Z10"/>
  <c r="Z11"/>
  <c r="Z12"/>
  <c r="Z13"/>
  <c r="Z14"/>
  <c r="Z15"/>
  <c r="Z7"/>
  <c r="T8"/>
  <c r="T9"/>
  <c r="T10"/>
  <c r="T11"/>
  <c r="T12"/>
  <c r="T13"/>
  <c r="T14"/>
  <c r="T15"/>
  <c r="T7"/>
  <c r="N8"/>
  <c r="N9"/>
  <c r="N10"/>
  <c r="N11"/>
  <c r="N12"/>
  <c r="N13"/>
  <c r="N14"/>
  <c r="N15"/>
  <c r="N7"/>
  <c r="H8"/>
  <c r="H9"/>
  <c r="H10"/>
  <c r="H11"/>
  <c r="H12"/>
  <c r="H13"/>
  <c r="H14"/>
  <c r="H15"/>
  <c r="H7"/>
  <c r="H16" s="1"/>
  <c r="G16" s="1"/>
  <c r="W8"/>
  <c r="W9"/>
  <c r="W10"/>
  <c r="W11"/>
  <c r="W12"/>
  <c r="W13"/>
  <c r="W14"/>
  <c r="W15"/>
  <c r="W7"/>
  <c r="Q8"/>
  <c r="Q9"/>
  <c r="Q10"/>
  <c r="Q11"/>
  <c r="Q12"/>
  <c r="Q13"/>
  <c r="Q14"/>
  <c r="Q15"/>
  <c r="Q7"/>
  <c r="Q16" s="1"/>
  <c r="K8"/>
  <c r="K9"/>
  <c r="K10"/>
  <c r="K11"/>
  <c r="K12"/>
  <c r="K13"/>
  <c r="K14"/>
  <c r="K15"/>
  <c r="K7"/>
  <c r="E8"/>
  <c r="E9"/>
  <c r="E10"/>
  <c r="E11"/>
  <c r="E12"/>
  <c r="E13"/>
  <c r="E14"/>
  <c r="E15"/>
  <c r="E7"/>
  <c r="E16" s="1"/>
  <c r="K16" l="1"/>
  <c r="W16"/>
  <c r="T16"/>
  <c r="Z16"/>
  <c r="N16"/>
</calcChain>
</file>

<file path=xl/sharedStrings.xml><?xml version="1.0" encoding="utf-8"?>
<sst xmlns="http://schemas.openxmlformats.org/spreadsheetml/2006/main" count="41" uniqueCount="20">
  <si>
    <t>№п/п</t>
  </si>
  <si>
    <t>зерновые</t>
  </si>
  <si>
    <t>зернобобовые</t>
  </si>
  <si>
    <t>масличные</t>
  </si>
  <si>
    <t>кормовые</t>
  </si>
  <si>
    <t xml:space="preserve">Кишкенекольский </t>
  </si>
  <si>
    <t xml:space="preserve">Актуесайский </t>
  </si>
  <si>
    <t>Амангельдинский</t>
  </si>
  <si>
    <t xml:space="preserve">Акбулакский </t>
  </si>
  <si>
    <t xml:space="preserve">Бидаикский </t>
  </si>
  <si>
    <t>Коктерекский</t>
  </si>
  <si>
    <t xml:space="preserve">Кайратский </t>
  </si>
  <si>
    <t xml:space="preserve">Каратерекский </t>
  </si>
  <si>
    <t>Тельжанский</t>
  </si>
  <si>
    <t>Итого:</t>
  </si>
  <si>
    <t>Наименование с/о</t>
  </si>
  <si>
    <t>пос. площадь, тыс.га</t>
  </si>
  <si>
    <t>урож-ть, ц/га</t>
  </si>
  <si>
    <t>вал.сбор, тыс.тонн</t>
  </si>
  <si>
    <t>Посевная площадь, валовой сбор и урожайность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</si>
</sst>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6" fillId="0" borderId="0" xfId="0" applyFont="1"/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Z16"/>
  <sheetViews>
    <sheetView tabSelected="1" workbookViewId="0">
      <selection activeCell="J37" sqref="J37"/>
    </sheetView>
  </sheetViews>
  <sheetFormatPr defaultRowHeight="15"/>
  <cols>
    <col min="1" max="1" width="5.42578125" customWidth="1"/>
    <col min="2" max="2" width="13.5703125" style="1" customWidth="1"/>
    <col min="3" max="3" width="6.42578125" style="1" customWidth="1"/>
    <col min="4" max="4" width="5.42578125" style="1" customWidth="1"/>
    <col min="5" max="5" width="6" style="1" customWidth="1"/>
    <col min="6" max="6" width="6.28515625" style="1" customWidth="1"/>
    <col min="7" max="7" width="6.140625" style="1" customWidth="1"/>
    <col min="8" max="8" width="6.42578125" style="1" customWidth="1"/>
    <col min="9" max="10" width="6.28515625" style="1" customWidth="1"/>
    <col min="11" max="12" width="6.42578125" style="1" customWidth="1"/>
    <col min="13" max="13" width="4.7109375" style="1" customWidth="1"/>
    <col min="14" max="14" width="6.85546875" style="1" customWidth="1"/>
    <col min="15" max="15" width="6.7109375" style="1" customWidth="1"/>
    <col min="16" max="16" width="6.140625" style="1" customWidth="1"/>
    <col min="17" max="17" width="6.5703125" style="1" customWidth="1"/>
    <col min="18" max="18" width="6.85546875" style="1" customWidth="1"/>
    <col min="19" max="20" width="6.140625" style="1" customWidth="1"/>
    <col min="21" max="21" width="6.5703125" style="1" customWidth="1"/>
    <col min="22" max="22" width="6.140625" style="1" customWidth="1"/>
    <col min="23" max="23" width="6.28515625" style="1" customWidth="1"/>
    <col min="24" max="24" width="6.42578125" style="1" customWidth="1"/>
    <col min="25" max="25" width="5.7109375" style="1" customWidth="1"/>
    <col min="26" max="26" width="6.7109375" customWidth="1"/>
  </cols>
  <sheetData>
    <row r="2" spans="1:26">
      <c r="A2" s="18" t="s">
        <v>19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4" spans="1:26" s="2" customFormat="1" ht="15.75" customHeight="1">
      <c r="A4" s="15" t="s">
        <v>0</v>
      </c>
      <c r="B4" s="15" t="s">
        <v>15</v>
      </c>
      <c r="C4" s="12" t="s">
        <v>1</v>
      </c>
      <c r="D4" s="13"/>
      <c r="E4" s="13"/>
      <c r="F4" s="13"/>
      <c r="G4" s="13"/>
      <c r="H4" s="14"/>
      <c r="I4" s="17" t="s">
        <v>2</v>
      </c>
      <c r="J4" s="17"/>
      <c r="K4" s="17"/>
      <c r="L4" s="17"/>
      <c r="M4" s="17"/>
      <c r="N4" s="17"/>
      <c r="O4" s="17" t="s">
        <v>3</v>
      </c>
      <c r="P4" s="17"/>
      <c r="Q4" s="17"/>
      <c r="R4" s="17"/>
      <c r="S4" s="17"/>
      <c r="T4" s="17"/>
      <c r="U4" s="12" t="s">
        <v>4</v>
      </c>
      <c r="V4" s="13"/>
      <c r="W4" s="13"/>
      <c r="X4" s="13"/>
      <c r="Y4" s="13"/>
      <c r="Z4" s="14"/>
    </row>
    <row r="5" spans="1:26" s="2" customFormat="1" ht="12">
      <c r="A5" s="16"/>
      <c r="B5" s="16"/>
      <c r="C5" s="12">
        <v>2025</v>
      </c>
      <c r="D5" s="13"/>
      <c r="E5" s="14"/>
      <c r="F5" s="12">
        <v>2026</v>
      </c>
      <c r="G5" s="13"/>
      <c r="H5" s="14"/>
      <c r="I5" s="12">
        <v>2025</v>
      </c>
      <c r="J5" s="13"/>
      <c r="K5" s="14"/>
      <c r="L5" s="12">
        <v>2026</v>
      </c>
      <c r="M5" s="13"/>
      <c r="N5" s="14"/>
      <c r="O5" s="12">
        <v>2025</v>
      </c>
      <c r="P5" s="13"/>
      <c r="Q5" s="14"/>
      <c r="R5" s="12">
        <v>2026</v>
      </c>
      <c r="S5" s="13"/>
      <c r="T5" s="14"/>
      <c r="U5" s="12">
        <v>2025</v>
      </c>
      <c r="V5" s="13"/>
      <c r="W5" s="14"/>
      <c r="X5" s="12">
        <v>2026</v>
      </c>
      <c r="Y5" s="13"/>
      <c r="Z5" s="14"/>
    </row>
    <row r="6" spans="1:26" s="2" customFormat="1" ht="49.5" customHeight="1">
      <c r="A6" s="16"/>
      <c r="B6" s="16"/>
      <c r="C6" s="3" t="s">
        <v>16</v>
      </c>
      <c r="D6" s="3" t="s">
        <v>17</v>
      </c>
      <c r="E6" s="3" t="s">
        <v>18</v>
      </c>
      <c r="F6" s="3" t="s">
        <v>16</v>
      </c>
      <c r="G6" s="3" t="s">
        <v>17</v>
      </c>
      <c r="H6" s="3" t="s">
        <v>18</v>
      </c>
      <c r="I6" s="3" t="s">
        <v>16</v>
      </c>
      <c r="J6" s="3" t="s">
        <v>17</v>
      </c>
      <c r="K6" s="3" t="s">
        <v>18</v>
      </c>
      <c r="L6" s="3" t="s">
        <v>16</v>
      </c>
      <c r="M6" s="3" t="s">
        <v>17</v>
      </c>
      <c r="N6" s="3" t="s">
        <v>18</v>
      </c>
      <c r="O6" s="3" t="s">
        <v>16</v>
      </c>
      <c r="P6" s="3" t="s">
        <v>17</v>
      </c>
      <c r="Q6" s="3" t="s">
        <v>18</v>
      </c>
      <c r="R6" s="3" t="s">
        <v>16</v>
      </c>
      <c r="S6" s="3" t="s">
        <v>17</v>
      </c>
      <c r="T6" s="3" t="s">
        <v>18</v>
      </c>
      <c r="U6" s="3" t="s">
        <v>16</v>
      </c>
      <c r="V6" s="3" t="s">
        <v>17</v>
      </c>
      <c r="W6" s="3" t="s">
        <v>18</v>
      </c>
      <c r="X6" s="3" t="s">
        <v>16</v>
      </c>
      <c r="Y6" s="3" t="s">
        <v>17</v>
      </c>
      <c r="Z6" s="3" t="s">
        <v>18</v>
      </c>
    </row>
    <row r="7" spans="1:26" s="2" customFormat="1" ht="15" customHeight="1">
      <c r="A7" s="4">
        <v>1</v>
      </c>
      <c r="B7" s="5" t="s">
        <v>5</v>
      </c>
      <c r="C7" s="6">
        <v>8.6999999999999993</v>
      </c>
      <c r="D7" s="6">
        <v>16.899999999999999</v>
      </c>
      <c r="E7" s="7">
        <f>C7*D7/10</f>
        <v>14.702999999999998</v>
      </c>
      <c r="F7" s="6">
        <v>6.7</v>
      </c>
      <c r="G7" s="6">
        <v>9.8000000000000007</v>
      </c>
      <c r="H7" s="7">
        <f>F7*G7/10</f>
        <v>6.5660000000000007</v>
      </c>
      <c r="I7" s="6">
        <v>1.7</v>
      </c>
      <c r="J7" s="6">
        <v>11.3</v>
      </c>
      <c r="K7" s="7">
        <f>I7*J7/10</f>
        <v>1.921</v>
      </c>
      <c r="L7" s="6">
        <v>1.1000000000000001</v>
      </c>
      <c r="M7" s="6">
        <v>8.8000000000000007</v>
      </c>
      <c r="N7" s="7">
        <f>L7*M7/10</f>
        <v>0.96800000000000019</v>
      </c>
      <c r="O7" s="6">
        <v>2.5</v>
      </c>
      <c r="P7" s="7">
        <v>9</v>
      </c>
      <c r="Q7" s="7">
        <f>O7*P7/10</f>
        <v>2.25</v>
      </c>
      <c r="R7" s="6">
        <v>3.6</v>
      </c>
      <c r="S7" s="6">
        <v>5.4</v>
      </c>
      <c r="T7" s="7">
        <f>R7*S7/10</f>
        <v>1.9440000000000002</v>
      </c>
      <c r="U7" s="6">
        <v>5.8</v>
      </c>
      <c r="V7" s="6">
        <v>14.5</v>
      </c>
      <c r="W7" s="7">
        <f>U7*V7/10</f>
        <v>8.41</v>
      </c>
      <c r="X7" s="6">
        <v>1.1000000000000001</v>
      </c>
      <c r="Y7" s="6">
        <v>10.199999999999999</v>
      </c>
      <c r="Z7" s="7">
        <f>X7*Y7/10</f>
        <v>1.1220000000000001</v>
      </c>
    </row>
    <row r="8" spans="1:26" s="2" customFormat="1" ht="12">
      <c r="A8" s="4">
        <v>2</v>
      </c>
      <c r="B8" s="5" t="s">
        <v>6</v>
      </c>
      <c r="C8" s="6">
        <v>25.9</v>
      </c>
      <c r="D8" s="6">
        <v>15</v>
      </c>
      <c r="E8" s="7">
        <f t="shared" ref="E8:E15" si="0">C8*D8/10</f>
        <v>38.85</v>
      </c>
      <c r="F8" s="6">
        <v>22.6</v>
      </c>
      <c r="G8" s="6">
        <v>10.199999999999999</v>
      </c>
      <c r="H8" s="7">
        <f t="shared" ref="H8:H15" si="1">F8*G8/10</f>
        <v>23.052</v>
      </c>
      <c r="I8" s="6">
        <v>0.5</v>
      </c>
      <c r="J8" s="6">
        <v>12.5</v>
      </c>
      <c r="K8" s="7">
        <f t="shared" ref="K8:K15" si="2">I8*J8/10</f>
        <v>0.625</v>
      </c>
      <c r="L8" s="6">
        <v>0</v>
      </c>
      <c r="M8" s="6">
        <v>0</v>
      </c>
      <c r="N8" s="7">
        <f t="shared" ref="N8:N15" si="3">L8*M8/10</f>
        <v>0</v>
      </c>
      <c r="O8" s="6">
        <v>8.4</v>
      </c>
      <c r="P8" s="6">
        <v>10.199999999999999</v>
      </c>
      <c r="Q8" s="7">
        <f t="shared" ref="Q8:Q15" si="4">O8*P8/10</f>
        <v>8.5679999999999996</v>
      </c>
      <c r="R8" s="6">
        <v>10.3</v>
      </c>
      <c r="S8" s="6">
        <v>5.9</v>
      </c>
      <c r="T8" s="7">
        <f t="shared" ref="T8:T15" si="5">R8*S8/10</f>
        <v>6.0770000000000008</v>
      </c>
      <c r="U8" s="6">
        <v>6.2</v>
      </c>
      <c r="V8" s="6">
        <v>9.3000000000000007</v>
      </c>
      <c r="W8" s="7">
        <f t="shared" ref="W8:W15" si="6">U8*V8/10</f>
        <v>5.766</v>
      </c>
      <c r="X8" s="6">
        <v>1.2</v>
      </c>
      <c r="Y8" s="6">
        <v>12.3</v>
      </c>
      <c r="Z8" s="7">
        <f t="shared" ref="Z8:Z15" si="7">X8*Y8/10</f>
        <v>1.476</v>
      </c>
    </row>
    <row r="9" spans="1:26" s="2" customFormat="1" ht="12.75" customHeight="1">
      <c r="A9" s="4">
        <v>3</v>
      </c>
      <c r="B9" s="5" t="s">
        <v>7</v>
      </c>
      <c r="C9" s="6">
        <v>1.9</v>
      </c>
      <c r="D9" s="6">
        <v>12.3</v>
      </c>
      <c r="E9" s="7">
        <f t="shared" si="0"/>
        <v>2.3370000000000002</v>
      </c>
      <c r="F9" s="6">
        <v>1.1000000000000001</v>
      </c>
      <c r="G9" s="6">
        <v>7.9</v>
      </c>
      <c r="H9" s="7">
        <f t="shared" si="1"/>
        <v>0.86900000000000011</v>
      </c>
      <c r="I9" s="6">
        <v>0</v>
      </c>
      <c r="J9" s="6">
        <v>0</v>
      </c>
      <c r="K9" s="7">
        <f t="shared" si="2"/>
        <v>0</v>
      </c>
      <c r="L9" s="6">
        <v>0</v>
      </c>
      <c r="M9" s="6">
        <v>0</v>
      </c>
      <c r="N9" s="7">
        <f t="shared" si="3"/>
        <v>0</v>
      </c>
      <c r="O9" s="6">
        <v>0.1</v>
      </c>
      <c r="P9" s="6">
        <v>8.6999999999999993</v>
      </c>
      <c r="Q9" s="7">
        <f t="shared" si="4"/>
        <v>8.6999999999999994E-2</v>
      </c>
      <c r="R9" s="6">
        <v>0.1</v>
      </c>
      <c r="S9" s="6">
        <v>6.6</v>
      </c>
      <c r="T9" s="7">
        <f t="shared" si="5"/>
        <v>6.6000000000000003E-2</v>
      </c>
      <c r="U9" s="6">
        <v>1.6</v>
      </c>
      <c r="V9" s="6">
        <v>12.8</v>
      </c>
      <c r="W9" s="7">
        <f t="shared" si="6"/>
        <v>2.0480000000000005</v>
      </c>
      <c r="X9" s="6">
        <v>0.3</v>
      </c>
      <c r="Y9" s="6">
        <v>9.8000000000000007</v>
      </c>
      <c r="Z9" s="7">
        <f t="shared" si="7"/>
        <v>0.29399999999999998</v>
      </c>
    </row>
    <row r="10" spans="1:26" s="2" customFormat="1" ht="12">
      <c r="A10" s="4">
        <v>4</v>
      </c>
      <c r="B10" s="8" t="s">
        <v>8</v>
      </c>
      <c r="C10" s="6">
        <v>21.3</v>
      </c>
      <c r="D10" s="6">
        <v>17.600000000000001</v>
      </c>
      <c r="E10" s="7">
        <f t="shared" si="0"/>
        <v>37.488000000000007</v>
      </c>
      <c r="F10" s="6">
        <v>18.899999999999999</v>
      </c>
      <c r="G10" s="6">
        <v>9.6</v>
      </c>
      <c r="H10" s="7">
        <f t="shared" si="1"/>
        <v>18.143999999999998</v>
      </c>
      <c r="I10" s="6">
        <v>2.2999999999999998</v>
      </c>
      <c r="J10" s="6">
        <v>11.9</v>
      </c>
      <c r="K10" s="7">
        <f t="shared" si="2"/>
        <v>2.7369999999999997</v>
      </c>
      <c r="L10" s="6">
        <v>1.6</v>
      </c>
      <c r="M10" s="6">
        <v>8.1</v>
      </c>
      <c r="N10" s="7">
        <f t="shared" si="3"/>
        <v>1.296</v>
      </c>
      <c r="O10" s="6">
        <v>8.3000000000000007</v>
      </c>
      <c r="P10" s="6">
        <v>9.3000000000000007</v>
      </c>
      <c r="Q10" s="7">
        <f t="shared" si="4"/>
        <v>7.7190000000000012</v>
      </c>
      <c r="R10" s="6">
        <v>12.9</v>
      </c>
      <c r="S10" s="6">
        <v>8.9</v>
      </c>
      <c r="T10" s="7">
        <f t="shared" si="5"/>
        <v>11.481</v>
      </c>
      <c r="U10" s="6">
        <v>1.5</v>
      </c>
      <c r="V10" s="6">
        <v>10.6</v>
      </c>
      <c r="W10" s="7">
        <f t="shared" si="6"/>
        <v>1.5899999999999999</v>
      </c>
      <c r="X10" s="6">
        <v>1.5</v>
      </c>
      <c r="Y10" s="6">
        <v>14.3</v>
      </c>
      <c r="Z10" s="7">
        <f t="shared" si="7"/>
        <v>2.1450000000000005</v>
      </c>
    </row>
    <row r="11" spans="1:26" s="2" customFormat="1" ht="12">
      <c r="A11" s="4">
        <v>5</v>
      </c>
      <c r="B11" s="8" t="s">
        <v>9</v>
      </c>
      <c r="C11" s="6">
        <v>18.600000000000001</v>
      </c>
      <c r="D11" s="6">
        <v>12.9</v>
      </c>
      <c r="E11" s="7">
        <f t="shared" si="0"/>
        <v>23.994000000000003</v>
      </c>
      <c r="F11" s="6">
        <v>21.5</v>
      </c>
      <c r="G11" s="6">
        <v>11.6</v>
      </c>
      <c r="H11" s="7">
        <f t="shared" si="1"/>
        <v>24.94</v>
      </c>
      <c r="I11" s="6">
        <v>0.5</v>
      </c>
      <c r="J11" s="6">
        <v>15.4</v>
      </c>
      <c r="K11" s="7">
        <f t="shared" si="2"/>
        <v>0.77</v>
      </c>
      <c r="L11" s="6">
        <v>0</v>
      </c>
      <c r="M11" s="6">
        <v>0</v>
      </c>
      <c r="N11" s="7">
        <f t="shared" si="3"/>
        <v>0</v>
      </c>
      <c r="O11" s="6">
        <v>10.6</v>
      </c>
      <c r="P11" s="6">
        <v>11.5</v>
      </c>
      <c r="Q11" s="7">
        <f t="shared" si="4"/>
        <v>12.19</v>
      </c>
      <c r="R11" s="6">
        <v>13.2</v>
      </c>
      <c r="S11" s="6">
        <v>7.7</v>
      </c>
      <c r="T11" s="7">
        <f t="shared" si="5"/>
        <v>10.164</v>
      </c>
      <c r="U11" s="6">
        <v>7.6</v>
      </c>
      <c r="V11" s="6">
        <v>8.6</v>
      </c>
      <c r="W11" s="7">
        <f t="shared" si="6"/>
        <v>6.5359999999999996</v>
      </c>
      <c r="X11" s="6">
        <v>1.6</v>
      </c>
      <c r="Y11" s="6">
        <v>13.7</v>
      </c>
      <c r="Z11" s="7">
        <f t="shared" si="7"/>
        <v>2.1920000000000002</v>
      </c>
    </row>
    <row r="12" spans="1:26" s="2" customFormat="1" ht="12">
      <c r="A12" s="4">
        <v>6</v>
      </c>
      <c r="B12" s="5" t="s">
        <v>10</v>
      </c>
      <c r="C12" s="6">
        <v>8.6</v>
      </c>
      <c r="D12" s="6">
        <v>15.3</v>
      </c>
      <c r="E12" s="7">
        <f t="shared" si="0"/>
        <v>13.158000000000001</v>
      </c>
      <c r="F12" s="6">
        <v>9.3000000000000007</v>
      </c>
      <c r="G12" s="6">
        <v>12.3</v>
      </c>
      <c r="H12" s="7">
        <f t="shared" si="1"/>
        <v>11.439000000000002</v>
      </c>
      <c r="I12" s="6">
        <v>0.7</v>
      </c>
      <c r="J12" s="6">
        <v>10.5</v>
      </c>
      <c r="K12" s="7">
        <f t="shared" si="2"/>
        <v>0.73499999999999999</v>
      </c>
      <c r="L12" s="6">
        <v>0</v>
      </c>
      <c r="M12" s="6">
        <v>0</v>
      </c>
      <c r="N12" s="7">
        <f t="shared" si="3"/>
        <v>0</v>
      </c>
      <c r="O12" s="6">
        <v>5.9</v>
      </c>
      <c r="P12" s="6">
        <v>8.1</v>
      </c>
      <c r="Q12" s="7">
        <f t="shared" si="4"/>
        <v>4.7789999999999999</v>
      </c>
      <c r="R12" s="6">
        <v>7.4</v>
      </c>
      <c r="S12" s="6">
        <v>5.9</v>
      </c>
      <c r="T12" s="7">
        <f t="shared" si="5"/>
        <v>4.3660000000000005</v>
      </c>
      <c r="U12" s="6">
        <v>3.6</v>
      </c>
      <c r="V12" s="6">
        <v>10.3</v>
      </c>
      <c r="W12" s="7">
        <f t="shared" si="6"/>
        <v>3.7080000000000006</v>
      </c>
      <c r="X12" s="6">
        <v>1.5</v>
      </c>
      <c r="Y12" s="6">
        <v>10.4</v>
      </c>
      <c r="Z12" s="7">
        <f t="shared" si="7"/>
        <v>1.56</v>
      </c>
    </row>
    <row r="13" spans="1:26" s="2" customFormat="1" ht="12">
      <c r="A13" s="4">
        <v>7</v>
      </c>
      <c r="B13" s="5" t="s">
        <v>11</v>
      </c>
      <c r="C13" s="6">
        <v>8.6</v>
      </c>
      <c r="D13" s="6">
        <v>14.9</v>
      </c>
      <c r="E13" s="7">
        <f t="shared" si="0"/>
        <v>12.813999999999998</v>
      </c>
      <c r="F13" s="6">
        <v>2.2000000000000002</v>
      </c>
      <c r="G13" s="6">
        <v>14.5</v>
      </c>
      <c r="H13" s="7">
        <f t="shared" si="1"/>
        <v>3.1900000000000004</v>
      </c>
      <c r="I13" s="6">
        <v>0</v>
      </c>
      <c r="J13" s="6">
        <v>0</v>
      </c>
      <c r="K13" s="7">
        <f t="shared" si="2"/>
        <v>0</v>
      </c>
      <c r="L13" s="6">
        <v>0</v>
      </c>
      <c r="M13" s="6">
        <v>0</v>
      </c>
      <c r="N13" s="7">
        <f t="shared" si="3"/>
        <v>0</v>
      </c>
      <c r="O13" s="6">
        <v>0.5</v>
      </c>
      <c r="P13" s="6">
        <v>12.7</v>
      </c>
      <c r="Q13" s="7">
        <f t="shared" si="4"/>
        <v>0.63500000000000001</v>
      </c>
      <c r="R13" s="6">
        <v>4.0999999999999996</v>
      </c>
      <c r="S13" s="6">
        <v>6.7</v>
      </c>
      <c r="T13" s="7">
        <f t="shared" si="5"/>
        <v>2.7469999999999999</v>
      </c>
      <c r="U13" s="6">
        <v>5.6</v>
      </c>
      <c r="V13" s="6">
        <v>9.6</v>
      </c>
      <c r="W13" s="7">
        <f t="shared" si="6"/>
        <v>5.3759999999999994</v>
      </c>
      <c r="X13" s="6">
        <v>5.5</v>
      </c>
      <c r="Y13" s="6">
        <v>9.5</v>
      </c>
      <c r="Z13" s="7">
        <f t="shared" si="7"/>
        <v>5.2249999999999996</v>
      </c>
    </row>
    <row r="14" spans="1:26" s="2" customFormat="1" ht="12">
      <c r="A14" s="4">
        <v>8</v>
      </c>
      <c r="B14" s="8" t="s">
        <v>12</v>
      </c>
      <c r="C14" s="6">
        <v>9.8000000000000007</v>
      </c>
      <c r="D14" s="6">
        <v>13.6</v>
      </c>
      <c r="E14" s="7">
        <f t="shared" si="0"/>
        <v>13.327999999999999</v>
      </c>
      <c r="F14" s="6">
        <v>6.5</v>
      </c>
      <c r="G14" s="6">
        <v>7.9</v>
      </c>
      <c r="H14" s="7">
        <f t="shared" si="1"/>
        <v>5.1349999999999998</v>
      </c>
      <c r="I14" s="6">
        <v>0</v>
      </c>
      <c r="J14" s="6">
        <v>0</v>
      </c>
      <c r="K14" s="7">
        <f t="shared" si="2"/>
        <v>0</v>
      </c>
      <c r="L14" s="6">
        <v>0</v>
      </c>
      <c r="M14" s="6">
        <v>0</v>
      </c>
      <c r="N14" s="7">
        <f t="shared" si="3"/>
        <v>0</v>
      </c>
      <c r="O14" s="6">
        <v>4.0999999999999996</v>
      </c>
      <c r="P14" s="6">
        <v>9.8000000000000007</v>
      </c>
      <c r="Q14" s="7">
        <f t="shared" si="4"/>
        <v>4.0179999999999998</v>
      </c>
      <c r="R14" s="6">
        <v>5.8</v>
      </c>
      <c r="S14" s="6">
        <v>8.3000000000000007</v>
      </c>
      <c r="T14" s="7">
        <f t="shared" si="5"/>
        <v>4.8140000000000001</v>
      </c>
      <c r="U14" s="6">
        <v>1.3</v>
      </c>
      <c r="V14" s="6">
        <v>8.1999999999999993</v>
      </c>
      <c r="W14" s="7">
        <f t="shared" si="6"/>
        <v>1.0660000000000001</v>
      </c>
      <c r="X14" s="6">
        <v>1.1000000000000001</v>
      </c>
      <c r="Y14" s="6">
        <v>8.6999999999999993</v>
      </c>
      <c r="Z14" s="7">
        <f t="shared" si="7"/>
        <v>0.95700000000000007</v>
      </c>
    </row>
    <row r="15" spans="1:26" s="2" customFormat="1" ht="12">
      <c r="A15" s="4">
        <v>9</v>
      </c>
      <c r="B15" s="5" t="s">
        <v>13</v>
      </c>
      <c r="C15" s="6">
        <v>18.100000000000001</v>
      </c>
      <c r="D15" s="6">
        <v>15.9</v>
      </c>
      <c r="E15" s="7">
        <f t="shared" si="0"/>
        <v>28.779000000000003</v>
      </c>
      <c r="F15" s="6">
        <v>20.6</v>
      </c>
      <c r="G15" s="7">
        <v>10</v>
      </c>
      <c r="H15" s="7">
        <f t="shared" si="1"/>
        <v>20.6</v>
      </c>
      <c r="I15" s="6">
        <v>0.6</v>
      </c>
      <c r="J15" s="6">
        <v>10.199999999999999</v>
      </c>
      <c r="K15" s="7">
        <f t="shared" si="2"/>
        <v>0.61199999999999988</v>
      </c>
      <c r="L15" s="6">
        <v>0.6</v>
      </c>
      <c r="M15" s="6">
        <v>11.3</v>
      </c>
      <c r="N15" s="7">
        <f t="shared" si="3"/>
        <v>0.67800000000000005</v>
      </c>
      <c r="O15" s="6">
        <v>8.5</v>
      </c>
      <c r="P15" s="6">
        <v>8.5</v>
      </c>
      <c r="Q15" s="7">
        <f t="shared" si="4"/>
        <v>7.2249999999999996</v>
      </c>
      <c r="R15" s="6">
        <v>12.5</v>
      </c>
      <c r="S15" s="7">
        <v>8</v>
      </c>
      <c r="T15" s="7">
        <f t="shared" si="5"/>
        <v>10</v>
      </c>
      <c r="U15" s="6">
        <v>1.3</v>
      </c>
      <c r="V15" s="6">
        <v>11.6</v>
      </c>
      <c r="W15" s="7">
        <f t="shared" si="6"/>
        <v>1.508</v>
      </c>
      <c r="X15" s="6">
        <v>1.6</v>
      </c>
      <c r="Y15" s="6">
        <v>12.6</v>
      </c>
      <c r="Z15" s="7">
        <f t="shared" si="7"/>
        <v>2.016</v>
      </c>
    </row>
    <row r="16" spans="1:26" s="11" customFormat="1" ht="12">
      <c r="A16" s="17" t="s">
        <v>14</v>
      </c>
      <c r="B16" s="17"/>
      <c r="C16" s="9">
        <v>121.5</v>
      </c>
      <c r="D16" s="9">
        <v>15.3</v>
      </c>
      <c r="E16" s="10">
        <f>SUM(E7:E15)</f>
        <v>185.45100000000002</v>
      </c>
      <c r="F16" s="9">
        <v>109.4</v>
      </c>
      <c r="G16" s="10">
        <f>H16/F16*10</f>
        <v>10.414533820840949</v>
      </c>
      <c r="H16" s="10">
        <f>SUM(H7:H15)</f>
        <v>113.935</v>
      </c>
      <c r="I16" s="9">
        <v>6.3</v>
      </c>
      <c r="J16" s="9">
        <v>11.7</v>
      </c>
      <c r="K16" s="10">
        <f>SUM(K7:K15)</f>
        <v>7.3999999999999995</v>
      </c>
      <c r="L16" s="9">
        <v>3.3</v>
      </c>
      <c r="M16" s="9">
        <v>8.6999999999999993</v>
      </c>
      <c r="N16" s="10">
        <f>SUM(N7:N15)</f>
        <v>2.9420000000000002</v>
      </c>
      <c r="O16" s="9">
        <v>48.9</v>
      </c>
      <c r="P16" s="9">
        <v>9.6999999999999993</v>
      </c>
      <c r="Q16" s="10">
        <f>SUM(Q7:Q15)</f>
        <v>47.471000000000004</v>
      </c>
      <c r="R16" s="9">
        <v>69.900000000000006</v>
      </c>
      <c r="S16" s="9">
        <v>7.3</v>
      </c>
      <c r="T16" s="10">
        <f>SUM(T7:T15)</f>
        <v>51.658999999999999</v>
      </c>
      <c r="U16" s="9">
        <v>34.5</v>
      </c>
      <c r="V16" s="9">
        <v>10.4</v>
      </c>
      <c r="W16" s="10">
        <f>SUM(W7:W15)</f>
        <v>36.00800000000001</v>
      </c>
      <c r="X16" s="9">
        <v>15.4</v>
      </c>
      <c r="Y16" s="10">
        <v>11</v>
      </c>
      <c r="Z16" s="10">
        <f>SUM(Z7:Z15)</f>
        <v>16.987000000000002</v>
      </c>
    </row>
  </sheetData>
  <mergeCells count="16">
    <mergeCell ref="A16:B16"/>
    <mergeCell ref="A2:Z2"/>
    <mergeCell ref="C5:E5"/>
    <mergeCell ref="F5:H5"/>
    <mergeCell ref="C4:H4"/>
    <mergeCell ref="I5:K5"/>
    <mergeCell ref="A4:A6"/>
    <mergeCell ref="B4:B6"/>
    <mergeCell ref="I4:N4"/>
    <mergeCell ref="L5:N5"/>
    <mergeCell ref="O5:Q5"/>
    <mergeCell ref="R5:T5"/>
    <mergeCell ref="U4:Z4"/>
    <mergeCell ref="U5:W5"/>
    <mergeCell ref="X5:Z5"/>
    <mergeCell ref="O4:T4"/>
  </mergeCells>
  <pageMargins left="0.7" right="0.7" top="0.75" bottom="0.75" header="0.3" footer="0.3"/>
  <pageSetup paperSize="9" scale="95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2026-10-14T05:17:37Z</dcterms:modified>
</cp:coreProperties>
</file>