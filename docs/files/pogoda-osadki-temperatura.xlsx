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1"/>
  </bookViews>
  <sheets>
    <sheet name="КИШКЕНЕКОЛЬ" sheetId="1" r:id="rId1"/>
    <sheet name="АКТУЕСАЙ" sheetId="2" r:id="rId2"/>
    <sheet name="Лист3" sheetId="3" r:id="rId3"/>
  </sheets>
  <calcPr calcId="145621"/>
</workbook>
</file>

<file path=xl/calcChain.xml><?xml version="1.0" encoding="utf-8"?>
<calcChain xmlns="http://schemas.openxmlformats.org/spreadsheetml/2006/main">
  <c r="AL13" i="2" l="1"/>
  <c r="AL28" i="2"/>
  <c r="AL27" i="2" l="1"/>
  <c r="AL26" i="2"/>
  <c r="AL25" i="2"/>
  <c r="AL24" i="2"/>
  <c r="AL23" i="2"/>
  <c r="AL22" i="2"/>
  <c r="AL21" i="2"/>
  <c r="AL20" i="2"/>
  <c r="AL19" i="2"/>
  <c r="AL12" i="2"/>
  <c r="AL11" i="2"/>
  <c r="AL10" i="2"/>
  <c r="AL9" i="2"/>
  <c r="AL8" i="2"/>
  <c r="AL7" i="2"/>
  <c r="AL6" i="2"/>
  <c r="AL5" i="2"/>
  <c r="AL4" i="2"/>
  <c r="AL27" i="1" l="1"/>
  <c r="AL26" i="1"/>
  <c r="AL25" i="1"/>
  <c r="AL24" i="1"/>
  <c r="AL23" i="1"/>
  <c r="AL22" i="1"/>
  <c r="AL21" i="1"/>
  <c r="AL20" i="1"/>
  <c r="AL19" i="1"/>
  <c r="AL18" i="1"/>
  <c r="AL14" i="1"/>
  <c r="AL13" i="1"/>
  <c r="AL12" i="1"/>
  <c r="AL11" i="1"/>
  <c r="AL10" i="1"/>
  <c r="AL9" i="1"/>
  <c r="AL8" i="1"/>
  <c r="AL7" i="1"/>
  <c r="AL6" i="1"/>
  <c r="AL5" i="1"/>
  <c r="AL4" i="1"/>
</calcChain>
</file>

<file path=xl/sharedStrings.xml><?xml version="1.0" encoding="utf-8"?>
<sst xmlns="http://schemas.openxmlformats.org/spreadsheetml/2006/main" count="283" uniqueCount="28">
  <si>
    <t>Год/месяц, декады</t>
  </si>
  <si>
    <t>Январь</t>
  </si>
  <si>
    <t>Февраль</t>
  </si>
  <si>
    <t>Март</t>
  </si>
  <si>
    <t>Апрель</t>
  </si>
  <si>
    <t xml:space="preserve">Май 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</si>
  <si>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</si>
  <si>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</si>
  <si>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</si>
  <si>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</si>
  <si>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</si>
  <si>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</si>
  <si>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</si>
  <si>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Сумма за год</t>
  </si>
  <si>
    <t>I</t>
  </si>
  <si>
    <t>II</t>
  </si>
  <si>
    <t>III</t>
  </si>
  <si>
    <t>-</t>
  </si>
  <si>
    <t>Среднее значение</t>
  </si>
  <si>
    <t>Количество выпавших осадков за месяц, мм МС Кишкенеколь</t>
  </si>
  <si>
    <r>
      <t xml:space="preserve">Средняя температура воздуха, </t>
    </r>
    <r>
      <rPr>
        <b/>
        <sz val="11"/>
        <color theme="1"/>
        <rFont val="Calibri"/>
        <family val="2"/>
        <charset val="204"/>
      </rPr>
      <t>°</t>
    </r>
    <r>
      <rPr>
        <b/>
        <sz val="11"/>
        <color theme="1"/>
        <rFont val="Times New Roman"/>
        <family val="1"/>
        <charset val="204"/>
      </rPr>
      <t>С Кишкенеколь</t>
    </r>
  </si>
  <si>
    <t>Запасы продуктивной влаги в почве по декадам ААП Актуесай</t>
  </si>
  <si>
    <t>0-100</t>
  </si>
  <si>
    <t>0-50</t>
  </si>
  <si>
    <t>0-20</t>
  </si>
  <si>
    <t>0-10</t>
  </si>
  <si>
    <t>Количество выпавших осадков за месяц, мм Актуесай</t>
  </si>
  <si>
    <r>
      <t xml:space="preserve">Средняя температура воздуха, </t>
    </r>
    <r>
      <rPr>
        <b/>
        <sz val="11"/>
        <color theme="1"/>
        <rFont val="Calibri"/>
        <family val="2"/>
        <charset val="204"/>
      </rPr>
      <t>°</t>
    </r>
    <r>
      <rPr>
        <b/>
        <sz val="11"/>
        <color theme="1"/>
        <rFont val="Times New Roman"/>
        <family val="1"/>
        <charset val="204"/>
      </rPr>
      <t>С Актуесай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</si>
</sst>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</font>
    <font>
      <sz val="10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0" fillId="0" borderId="7" xfId="0" applyBorder="1"/>
    <xf numFmtId="0" fontId="5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0" fillId="2" borderId="0" xfId="0" applyFill="1"/>
    <xf numFmtId="0" fontId="5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9" fillId="2" borderId="7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164" fontId="0" fillId="0" borderId="0" xfId="0" applyNumberFormat="1" applyFill="1"/>
    <xf numFmtId="164" fontId="3" fillId="0" borderId="5" xfId="0" applyNumberFormat="1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164" fontId="5" fillId="0" borderId="7" xfId="0" applyNumberFormat="1" applyFont="1" applyBorder="1" applyAlignment="1">
      <alignment horizontal="center" vertical="center" wrapText="1"/>
    </xf>
    <xf numFmtId="164" fontId="3" fillId="0" borderId="6" xfId="0" applyNumberFormat="1" applyFont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0" fillId="0" borderId="7" xfId="0" applyNumberFormat="1" applyBorder="1"/>
    <xf numFmtId="0" fontId="1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wrapText="1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4"/>
  <sheetViews>
    <sheetView topLeftCell="A10" zoomScale="90" zoomScaleNormal="90" workbookViewId="0">
      <selection activeCell="AN29" sqref="AN29"/>
    </sheetView>
  </sheetViews>
  <sheetFormatPr defaultRowHeight="15" x14ac:dyDescent="0.25"/>
  <cols>
    <col min="1" max="1" width="11.140625" customWidth="1"/>
    <col min="2" max="2" width="6" customWidth="1"/>
    <col min="3" max="3" width="5.140625" customWidth="1"/>
    <col min="4" max="4" width="6.28515625" customWidth="1"/>
    <col min="5" max="5" width="5.140625" customWidth="1"/>
    <col min="6" max="6" width="5.7109375" customWidth="1"/>
    <col min="7" max="9" width="5.140625" customWidth="1"/>
    <col min="10" max="10" width="6.28515625" customWidth="1"/>
    <col min="11" max="11" width="4.7109375" customWidth="1"/>
    <col min="12" max="13" width="4.42578125" customWidth="1"/>
    <col min="14" max="14" width="5.5703125" customWidth="1"/>
    <col min="15" max="17" width="4.42578125" customWidth="1"/>
    <col min="18" max="18" width="6.140625" customWidth="1"/>
    <col min="19" max="20" width="4.42578125" customWidth="1"/>
    <col min="21" max="21" width="5.5703125" customWidth="1"/>
    <col min="22" max="22" width="5.7109375" customWidth="1"/>
    <col min="23" max="25" width="4.42578125" customWidth="1"/>
    <col min="26" max="26" width="5.5703125" customWidth="1"/>
    <col min="27" max="29" width="4.42578125" customWidth="1"/>
    <col min="30" max="30" width="5.5703125" customWidth="1"/>
    <col min="31" max="31" width="4.7109375" customWidth="1"/>
    <col min="32" max="32" width="4.28515625" customWidth="1"/>
    <col min="33" max="33" width="5.140625" customWidth="1"/>
    <col min="34" max="34" width="5.5703125" customWidth="1"/>
    <col min="35" max="37" width="5.140625" customWidth="1"/>
    <col min="38" max="41" width="6.7109375" customWidth="1"/>
    <col min="42" max="42" width="6" customWidth="1"/>
    <col min="43" max="43" width="4.85546875" customWidth="1"/>
    <col min="44" max="44" width="6.140625" customWidth="1"/>
    <col min="45" max="45" width="5.5703125" customWidth="1"/>
    <col min="46" max="46" width="6.7109375" customWidth="1"/>
    <col min="47" max="47" width="6.140625" customWidth="1"/>
    <col min="48" max="48" width="6.42578125" customWidth="1"/>
    <col min="49" max="49" width="6.7109375" customWidth="1"/>
  </cols>
  <sheetData>
    <row r="1" spans="1:38" x14ac:dyDescent="0.25">
      <c r="A1" s="46" t="s">
        <v>19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</row>
    <row r="2" spans="1:38" x14ac:dyDescent="0.25">
      <c r="A2" s="41" t="s">
        <v>0</v>
      </c>
      <c r="B2" s="38" t="s">
        <v>1</v>
      </c>
      <c r="C2" s="39"/>
      <c r="D2" s="40"/>
      <c r="E2" s="38" t="s">
        <v>2</v>
      </c>
      <c r="F2" s="39"/>
      <c r="G2" s="40"/>
      <c r="H2" s="38" t="s">
        <v>3</v>
      </c>
      <c r="I2" s="39"/>
      <c r="J2" s="40"/>
      <c r="K2" s="38" t="s">
        <v>4</v>
      </c>
      <c r="L2" s="39"/>
      <c r="M2" s="40"/>
      <c r="N2" s="38" t="s">
        <v>5</v>
      </c>
      <c r="O2" s="39"/>
      <c r="P2" s="40"/>
      <c r="Q2" s="38" t="s">
        <v>6</v>
      </c>
      <c r="R2" s="39"/>
      <c r="S2" s="40"/>
      <c r="T2" s="38" t="s">
        <v>7</v>
      </c>
      <c r="U2" s="39"/>
      <c r="V2" s="40"/>
      <c r="W2" s="38" t="s">
        <v>8</v>
      </c>
      <c r="X2" s="39"/>
      <c r="Y2" s="40"/>
      <c r="Z2" s="38" t="s">
        <v>9</v>
      </c>
      <c r="AA2" s="39"/>
      <c r="AB2" s="40"/>
      <c r="AC2" s="38" t="s">
        <v>10</v>
      </c>
      <c r="AD2" s="39"/>
      <c r="AE2" s="40"/>
      <c r="AF2" s="38" t="s">
        <v>11</v>
      </c>
      <c r="AG2" s="39"/>
      <c r="AH2" s="40"/>
      <c r="AI2" s="38" t="s">
        <v>12</v>
      </c>
      <c r="AJ2" s="39"/>
      <c r="AK2" s="40"/>
      <c r="AL2" s="41" t="s">
        <v>13</v>
      </c>
    </row>
    <row r="3" spans="1:38" x14ac:dyDescent="0.25">
      <c r="A3" s="45"/>
      <c r="B3" s="1" t="s">
        <v>14</v>
      </c>
      <c r="C3" s="1" t="s">
        <v>15</v>
      </c>
      <c r="D3" s="1" t="s">
        <v>16</v>
      </c>
      <c r="E3" s="1" t="s">
        <v>14</v>
      </c>
      <c r="F3" s="1" t="s">
        <v>15</v>
      </c>
      <c r="G3" s="1" t="s">
        <v>16</v>
      </c>
      <c r="H3" s="1" t="s">
        <v>14</v>
      </c>
      <c r="I3" s="1" t="s">
        <v>15</v>
      </c>
      <c r="J3" s="1" t="s">
        <v>16</v>
      </c>
      <c r="K3" s="1" t="s">
        <v>14</v>
      </c>
      <c r="L3" s="1" t="s">
        <v>15</v>
      </c>
      <c r="M3" s="1" t="s">
        <v>16</v>
      </c>
      <c r="N3" s="1" t="s">
        <v>14</v>
      </c>
      <c r="O3" s="1" t="s">
        <v>15</v>
      </c>
      <c r="P3" s="1" t="s">
        <v>16</v>
      </c>
      <c r="Q3" s="1" t="s">
        <v>14</v>
      </c>
      <c r="R3" s="1" t="s">
        <v>15</v>
      </c>
      <c r="S3" s="1" t="s">
        <v>16</v>
      </c>
      <c r="T3" s="1" t="s">
        <v>14</v>
      </c>
      <c r="U3" s="1" t="s">
        <v>15</v>
      </c>
      <c r="V3" s="1" t="s">
        <v>16</v>
      </c>
      <c r="W3" s="1" t="s">
        <v>14</v>
      </c>
      <c r="X3" s="1" t="s">
        <v>15</v>
      </c>
      <c r="Y3" s="1" t="s">
        <v>16</v>
      </c>
      <c r="Z3" s="1" t="s">
        <v>14</v>
      </c>
      <c r="AA3" s="1" t="s">
        <v>15</v>
      </c>
      <c r="AB3" s="1" t="s">
        <v>16</v>
      </c>
      <c r="AC3" s="1" t="s">
        <v>14</v>
      </c>
      <c r="AD3" s="1" t="s">
        <v>15</v>
      </c>
      <c r="AE3" s="1" t="s">
        <v>16</v>
      </c>
      <c r="AF3" s="1" t="s">
        <v>14</v>
      </c>
      <c r="AG3" s="1" t="s">
        <v>15</v>
      </c>
      <c r="AH3" s="1" t="s">
        <v>16</v>
      </c>
      <c r="AI3" s="1" t="s">
        <v>14</v>
      </c>
      <c r="AJ3" s="1" t="s">
        <v>15</v>
      </c>
      <c r="AK3" s="1" t="s">
        <v>16</v>
      </c>
      <c r="AL3" s="43"/>
    </row>
    <row r="4" spans="1:38" x14ac:dyDescent="0.25">
      <c r="A4" s="2">
        <v>2016</v>
      </c>
      <c r="B4" s="3">
        <v>0</v>
      </c>
      <c r="C4" s="3">
        <v>1.6</v>
      </c>
      <c r="D4" s="3">
        <v>0</v>
      </c>
      <c r="E4" s="3">
        <v>8</v>
      </c>
      <c r="F4" s="3">
        <v>2.6</v>
      </c>
      <c r="G4" s="3">
        <v>2</v>
      </c>
      <c r="H4" s="3">
        <v>6.3</v>
      </c>
      <c r="I4" s="3">
        <v>5.7</v>
      </c>
      <c r="J4" s="3">
        <v>11.1</v>
      </c>
      <c r="K4" s="3">
        <v>8.6</v>
      </c>
      <c r="L4" s="3"/>
      <c r="M4" s="3">
        <v>7.1</v>
      </c>
      <c r="N4" s="3"/>
      <c r="O4" s="3">
        <v>2.1</v>
      </c>
      <c r="P4" s="3">
        <v>7.6</v>
      </c>
      <c r="Q4" s="3">
        <v>28.9</v>
      </c>
      <c r="R4" s="3">
        <v>14.9</v>
      </c>
      <c r="S4" s="3">
        <v>8.3000000000000007</v>
      </c>
      <c r="T4" s="3">
        <v>22.5</v>
      </c>
      <c r="U4" s="3">
        <v>36.6</v>
      </c>
      <c r="V4" s="3">
        <v>58.7</v>
      </c>
      <c r="W4" s="3"/>
      <c r="X4" s="3">
        <v>0.4</v>
      </c>
      <c r="Y4" s="3">
        <v>8.3000000000000007</v>
      </c>
      <c r="Z4" s="3">
        <v>4.4000000000000004</v>
      </c>
      <c r="AA4" s="3">
        <v>15.2</v>
      </c>
      <c r="AB4" s="3"/>
      <c r="AC4" s="3">
        <v>19.100000000000001</v>
      </c>
      <c r="AD4" s="3">
        <v>7.1</v>
      </c>
      <c r="AE4" s="3">
        <v>3</v>
      </c>
      <c r="AF4" s="3">
        <v>17</v>
      </c>
      <c r="AG4" s="3">
        <v>0.5</v>
      </c>
      <c r="AH4" s="3">
        <v>1.3</v>
      </c>
      <c r="AI4" s="3">
        <v>8.1999999999999993</v>
      </c>
      <c r="AJ4" s="3">
        <v>20.100000000000001</v>
      </c>
      <c r="AK4" s="3">
        <v>5.4</v>
      </c>
      <c r="AL4" s="3">
        <f t="shared" ref="AL4:AL10" si="0">SUM(B4:AK4)</f>
        <v>342.60000000000008</v>
      </c>
    </row>
    <row r="5" spans="1:38" x14ac:dyDescent="0.25">
      <c r="A5" s="2">
        <v>2017</v>
      </c>
      <c r="B5" s="3">
        <v>3.9</v>
      </c>
      <c r="C5" s="3">
        <v>0.5</v>
      </c>
      <c r="D5" s="3">
        <v>3.3</v>
      </c>
      <c r="E5" s="3">
        <v>5.0999999999999996</v>
      </c>
      <c r="F5" s="3">
        <v>0.3</v>
      </c>
      <c r="G5" s="3">
        <v>4.5</v>
      </c>
      <c r="H5" s="3">
        <v>1.8</v>
      </c>
      <c r="I5" s="3"/>
      <c r="J5" s="3">
        <v>1.1000000000000001</v>
      </c>
      <c r="K5" s="3">
        <v>1.2</v>
      </c>
      <c r="L5" s="3">
        <v>9.3000000000000007</v>
      </c>
      <c r="M5" s="3">
        <v>2.2000000000000002</v>
      </c>
      <c r="N5" s="3">
        <v>2.2999999999999998</v>
      </c>
      <c r="O5" s="3">
        <v>3.4</v>
      </c>
      <c r="P5" s="3">
        <v>13.9</v>
      </c>
      <c r="Q5" s="3">
        <v>9.8000000000000007</v>
      </c>
      <c r="R5" s="3">
        <v>8.8000000000000007</v>
      </c>
      <c r="S5" s="3">
        <v>5.3</v>
      </c>
      <c r="T5" s="3">
        <v>3.4</v>
      </c>
      <c r="U5" s="3">
        <v>12.9</v>
      </c>
      <c r="V5" s="3">
        <v>16.8</v>
      </c>
      <c r="W5" s="3">
        <v>3.4</v>
      </c>
      <c r="X5" s="3">
        <v>1.2</v>
      </c>
      <c r="Y5" s="3"/>
      <c r="Z5" s="3">
        <v>5.4</v>
      </c>
      <c r="AA5" s="3">
        <v>2</v>
      </c>
      <c r="AB5" s="3">
        <v>0.8</v>
      </c>
      <c r="AC5" s="3">
        <v>5.3</v>
      </c>
      <c r="AD5" s="3">
        <v>4.3</v>
      </c>
      <c r="AE5" s="3">
        <v>10.3</v>
      </c>
      <c r="AF5" s="3">
        <v>24.1</v>
      </c>
      <c r="AG5" s="3">
        <v>8.3000000000000007</v>
      </c>
      <c r="AH5" s="3"/>
      <c r="AI5" s="3">
        <v>7.6</v>
      </c>
      <c r="AJ5" s="3">
        <v>1.8</v>
      </c>
      <c r="AK5" s="3">
        <v>9.3000000000000007</v>
      </c>
      <c r="AL5" s="3">
        <f t="shared" si="0"/>
        <v>193.60000000000005</v>
      </c>
    </row>
    <row r="6" spans="1:38" x14ac:dyDescent="0.25">
      <c r="A6" s="2">
        <v>2018</v>
      </c>
      <c r="B6" s="3">
        <v>0.6</v>
      </c>
      <c r="C6" s="3">
        <v>5.0999999999999996</v>
      </c>
      <c r="D6" s="3"/>
      <c r="E6" s="3">
        <v>0</v>
      </c>
      <c r="F6" s="3">
        <v>4.8</v>
      </c>
      <c r="G6" s="3">
        <v>3.3</v>
      </c>
      <c r="H6" s="3">
        <v>4.0999999999999996</v>
      </c>
      <c r="I6" s="3">
        <v>0.2</v>
      </c>
      <c r="J6" s="3">
        <v>8.8000000000000007</v>
      </c>
      <c r="K6" s="3">
        <v>5.3</v>
      </c>
      <c r="L6" s="3">
        <v>0</v>
      </c>
      <c r="M6" s="3">
        <v>18.3</v>
      </c>
      <c r="N6" s="3">
        <v>5.8</v>
      </c>
      <c r="O6" s="3">
        <v>0.4</v>
      </c>
      <c r="P6" s="3">
        <v>43.4</v>
      </c>
      <c r="Q6" s="3">
        <v>3</v>
      </c>
      <c r="R6" s="3"/>
      <c r="S6" s="3">
        <v>11.5</v>
      </c>
      <c r="T6" s="3">
        <v>0</v>
      </c>
      <c r="U6" s="3">
        <v>6.1</v>
      </c>
      <c r="V6" s="3">
        <v>35.5</v>
      </c>
      <c r="W6" s="3">
        <v>11.1</v>
      </c>
      <c r="X6" s="3">
        <v>18.7</v>
      </c>
      <c r="Y6" s="3">
        <v>78.5</v>
      </c>
      <c r="Z6" s="3">
        <v>1.1000000000000001</v>
      </c>
      <c r="AA6" s="3">
        <v>0.3</v>
      </c>
      <c r="AB6" s="3">
        <v>19.2</v>
      </c>
      <c r="AC6" s="3"/>
      <c r="AD6" s="3">
        <v>7.7</v>
      </c>
      <c r="AE6" s="3">
        <v>19.5</v>
      </c>
      <c r="AF6" s="3">
        <v>3.3</v>
      </c>
      <c r="AG6" s="3">
        <v>7.8</v>
      </c>
      <c r="AH6" s="3">
        <v>15.7</v>
      </c>
      <c r="AI6" s="3">
        <v>5.4</v>
      </c>
      <c r="AJ6" s="3">
        <v>1.5</v>
      </c>
      <c r="AK6" s="3">
        <v>3.7</v>
      </c>
      <c r="AL6" s="3">
        <f t="shared" si="0"/>
        <v>349.7</v>
      </c>
    </row>
    <row r="7" spans="1:38" x14ac:dyDescent="0.25">
      <c r="A7" s="2">
        <v>2019</v>
      </c>
      <c r="B7" s="3">
        <v>1.5</v>
      </c>
      <c r="C7" s="3">
        <v>2.2000000000000002</v>
      </c>
      <c r="D7" s="3">
        <v>5.2</v>
      </c>
      <c r="E7" s="3">
        <v>6.4</v>
      </c>
      <c r="F7" s="3">
        <v>5.7</v>
      </c>
      <c r="G7" s="3">
        <v>1.8</v>
      </c>
      <c r="H7" s="3">
        <v>3.3</v>
      </c>
      <c r="I7" s="3">
        <v>0.6</v>
      </c>
      <c r="J7" s="3">
        <v>12.9</v>
      </c>
      <c r="K7" s="3">
        <v>9.3000000000000007</v>
      </c>
      <c r="L7" s="3">
        <v>8.5</v>
      </c>
      <c r="M7" s="3">
        <v>6.8</v>
      </c>
      <c r="N7" s="3">
        <v>0</v>
      </c>
      <c r="O7" s="3">
        <v>20.7</v>
      </c>
      <c r="P7" s="3">
        <v>6</v>
      </c>
      <c r="Q7" s="3">
        <v>35.6</v>
      </c>
      <c r="R7" s="3">
        <v>4.7</v>
      </c>
      <c r="S7" s="3">
        <v>5.3</v>
      </c>
      <c r="T7" s="3">
        <v>8.6</v>
      </c>
      <c r="U7" s="3"/>
      <c r="V7" s="3">
        <v>14.3</v>
      </c>
      <c r="W7" s="3">
        <v>7.1</v>
      </c>
      <c r="X7" s="3">
        <v>2.5</v>
      </c>
      <c r="Y7" s="3">
        <v>12.4</v>
      </c>
      <c r="Z7" s="3">
        <v>53</v>
      </c>
      <c r="AA7" s="3">
        <v>0.3</v>
      </c>
      <c r="AB7" s="3">
        <v>1.4</v>
      </c>
      <c r="AC7" s="3"/>
      <c r="AD7" s="3">
        <v>14.4</v>
      </c>
      <c r="AE7" s="3">
        <v>2.7</v>
      </c>
      <c r="AF7" s="3">
        <v>4.7</v>
      </c>
      <c r="AG7" s="3">
        <v>3.1</v>
      </c>
      <c r="AH7" s="3">
        <v>3.8</v>
      </c>
      <c r="AI7" s="3">
        <v>7.4</v>
      </c>
      <c r="AJ7" s="3">
        <v>5.8</v>
      </c>
      <c r="AK7" s="3">
        <v>10.9</v>
      </c>
      <c r="AL7" s="3">
        <f t="shared" si="0"/>
        <v>288.90000000000003</v>
      </c>
    </row>
    <row r="8" spans="1:38" x14ac:dyDescent="0.25">
      <c r="A8" s="2">
        <v>2020</v>
      </c>
      <c r="B8" s="3">
        <v>6.9</v>
      </c>
      <c r="C8" s="3">
        <v>12.9</v>
      </c>
      <c r="D8" s="3">
        <v>8.5</v>
      </c>
      <c r="E8" s="3">
        <v>12.3</v>
      </c>
      <c r="F8" s="3">
        <v>10.9</v>
      </c>
      <c r="G8" s="3">
        <v>14.5</v>
      </c>
      <c r="H8" s="3">
        <v>0.4</v>
      </c>
      <c r="I8" s="3">
        <v>0</v>
      </c>
      <c r="J8" s="3">
        <v>0.5</v>
      </c>
      <c r="K8" s="3">
        <v>0.3</v>
      </c>
      <c r="L8" s="3">
        <v>13</v>
      </c>
      <c r="M8" s="3">
        <v>24.9</v>
      </c>
      <c r="N8" s="3">
        <v>4.4000000000000004</v>
      </c>
      <c r="O8" s="3">
        <v>3.9</v>
      </c>
      <c r="P8" s="3">
        <v>1.4</v>
      </c>
      <c r="Q8" s="3">
        <v>0</v>
      </c>
      <c r="R8" s="3">
        <v>1.3</v>
      </c>
      <c r="S8" s="3">
        <v>58.5</v>
      </c>
      <c r="T8" s="3">
        <v>11.6</v>
      </c>
      <c r="U8" s="3"/>
      <c r="V8" s="3">
        <v>6.8</v>
      </c>
      <c r="W8" s="3"/>
      <c r="X8" s="3">
        <v>54.3</v>
      </c>
      <c r="Y8" s="3">
        <v>4</v>
      </c>
      <c r="Z8" s="3">
        <v>3.7</v>
      </c>
      <c r="AA8" s="3">
        <v>1.5</v>
      </c>
      <c r="AB8" s="3">
        <v>15.3</v>
      </c>
      <c r="AC8" s="3">
        <v>5.6</v>
      </c>
      <c r="AD8" s="3"/>
      <c r="AE8" s="3">
        <v>15</v>
      </c>
      <c r="AF8" s="3">
        <v>2.8</v>
      </c>
      <c r="AG8" s="3">
        <v>4</v>
      </c>
      <c r="AH8" s="3">
        <v>0</v>
      </c>
      <c r="AI8" s="3">
        <v>1.8</v>
      </c>
      <c r="AJ8" s="3">
        <v>2.6</v>
      </c>
      <c r="AK8" s="3">
        <v>1.6</v>
      </c>
      <c r="AL8" s="3">
        <f t="shared" si="0"/>
        <v>305.2000000000001</v>
      </c>
    </row>
    <row r="9" spans="1:38" x14ac:dyDescent="0.25">
      <c r="A9" s="2">
        <v>2021</v>
      </c>
      <c r="B9" s="3">
        <v>3.8</v>
      </c>
      <c r="C9" s="3">
        <v>12.9</v>
      </c>
      <c r="D9" s="3">
        <v>3.8</v>
      </c>
      <c r="E9" s="3">
        <v>5.2</v>
      </c>
      <c r="F9" s="3">
        <v>9.1</v>
      </c>
      <c r="G9" s="3">
        <v>10.1</v>
      </c>
      <c r="H9" s="3">
        <v>11.6</v>
      </c>
      <c r="I9" s="3">
        <v>2.4</v>
      </c>
      <c r="J9" s="3">
        <v>2.2000000000000002</v>
      </c>
      <c r="K9" s="3">
        <v>1.5</v>
      </c>
      <c r="L9" s="3">
        <v>1.2</v>
      </c>
      <c r="M9" s="3">
        <v>6.9</v>
      </c>
      <c r="N9" s="3">
        <v>5</v>
      </c>
      <c r="O9" s="3">
        <v>5</v>
      </c>
      <c r="P9" s="3">
        <v>1.7</v>
      </c>
      <c r="Q9" s="3">
        <v>4.3</v>
      </c>
      <c r="R9" s="3">
        <v>29.7</v>
      </c>
      <c r="S9" s="3">
        <v>11.2</v>
      </c>
      <c r="T9" s="3">
        <v>7.6</v>
      </c>
      <c r="U9" s="3">
        <v>13.5</v>
      </c>
      <c r="V9" s="3">
        <v>2.7</v>
      </c>
      <c r="W9" s="3">
        <v>7.4</v>
      </c>
      <c r="X9" s="3">
        <v>17.2</v>
      </c>
      <c r="Y9" s="3">
        <v>3.2</v>
      </c>
      <c r="Z9" s="3">
        <v>12.7</v>
      </c>
      <c r="AA9" s="3">
        <v>6.4</v>
      </c>
      <c r="AB9" s="3">
        <v>21</v>
      </c>
      <c r="AC9" s="3">
        <v>2.8</v>
      </c>
      <c r="AD9" s="3">
        <v>2.5</v>
      </c>
      <c r="AE9" s="3">
        <v>10</v>
      </c>
      <c r="AF9" s="3">
        <v>7.5</v>
      </c>
      <c r="AG9" s="3">
        <v>9.1999999999999993</v>
      </c>
      <c r="AH9" s="3">
        <v>2</v>
      </c>
      <c r="AI9" s="3">
        <v>0</v>
      </c>
      <c r="AJ9" s="3">
        <v>3</v>
      </c>
      <c r="AK9" s="3">
        <v>6.6</v>
      </c>
      <c r="AL9" s="3">
        <f t="shared" si="0"/>
        <v>262.89999999999998</v>
      </c>
    </row>
    <row r="10" spans="1:38" x14ac:dyDescent="0.25">
      <c r="A10" s="2">
        <v>2022</v>
      </c>
      <c r="B10" s="3">
        <v>7.3</v>
      </c>
      <c r="C10" s="3">
        <v>4.3</v>
      </c>
      <c r="D10" s="3">
        <v>2.2000000000000002</v>
      </c>
      <c r="E10" s="3">
        <v>3.1</v>
      </c>
      <c r="F10" s="3">
        <v>13</v>
      </c>
      <c r="G10" s="3">
        <v>1.2</v>
      </c>
      <c r="H10" s="3">
        <v>41</v>
      </c>
      <c r="I10" s="3">
        <v>0</v>
      </c>
      <c r="J10" s="3">
        <v>2.1</v>
      </c>
      <c r="K10" s="3">
        <v>1.2</v>
      </c>
      <c r="L10" s="3" t="s">
        <v>17</v>
      </c>
      <c r="M10" s="3">
        <v>13.1</v>
      </c>
      <c r="N10" s="3">
        <v>1.3</v>
      </c>
      <c r="O10" s="3">
        <v>4.4000000000000004</v>
      </c>
      <c r="P10" s="3">
        <v>8.5</v>
      </c>
      <c r="Q10" s="3">
        <v>1.4</v>
      </c>
      <c r="R10" s="3">
        <v>13</v>
      </c>
      <c r="S10" s="3">
        <v>24.7</v>
      </c>
      <c r="T10" s="3">
        <v>9.6</v>
      </c>
      <c r="U10" s="3">
        <v>13</v>
      </c>
      <c r="V10" s="3">
        <v>16.2</v>
      </c>
      <c r="W10" s="3">
        <v>31.6</v>
      </c>
      <c r="X10" s="3">
        <v>13.5</v>
      </c>
      <c r="Y10" s="3">
        <v>3.7</v>
      </c>
      <c r="Z10" s="3">
        <v>1.8</v>
      </c>
      <c r="AA10" s="3">
        <v>11.9</v>
      </c>
      <c r="AB10" s="3">
        <v>13.8</v>
      </c>
      <c r="AC10" s="3">
        <v>2.9</v>
      </c>
      <c r="AD10" s="3">
        <v>3</v>
      </c>
      <c r="AE10" s="3">
        <v>22.9</v>
      </c>
      <c r="AF10" s="3">
        <v>8.6999999999999993</v>
      </c>
      <c r="AG10" s="3">
        <v>19.3</v>
      </c>
      <c r="AH10" s="3">
        <v>1.1000000000000001</v>
      </c>
      <c r="AI10" s="3">
        <v>0.4</v>
      </c>
      <c r="AJ10" s="3">
        <v>1.5</v>
      </c>
      <c r="AK10" s="3">
        <v>10.1</v>
      </c>
      <c r="AL10" s="3">
        <f t="shared" si="0"/>
        <v>326.79999999999995</v>
      </c>
    </row>
    <row r="11" spans="1:38" x14ac:dyDescent="0.25">
      <c r="A11" s="2">
        <v>2023</v>
      </c>
      <c r="B11" s="3">
        <v>8.1</v>
      </c>
      <c r="C11" s="3">
        <v>1.3</v>
      </c>
      <c r="D11" s="3">
        <v>1.2</v>
      </c>
      <c r="E11" s="3">
        <v>3.4</v>
      </c>
      <c r="F11" s="3">
        <v>5</v>
      </c>
      <c r="G11" s="3">
        <v>1.6</v>
      </c>
      <c r="H11" s="3">
        <v>18.8</v>
      </c>
      <c r="I11" s="3">
        <v>2.7</v>
      </c>
      <c r="J11" s="3"/>
      <c r="K11" s="3">
        <v>0</v>
      </c>
      <c r="L11" s="3">
        <v>0.6</v>
      </c>
      <c r="M11" s="3">
        <v>0.5</v>
      </c>
      <c r="N11" s="3">
        <v>2.2000000000000002</v>
      </c>
      <c r="O11" s="3">
        <v>0.5</v>
      </c>
      <c r="P11" s="3">
        <v>2.1</v>
      </c>
      <c r="Q11" s="3">
        <v>0.4</v>
      </c>
      <c r="R11" s="3">
        <v>15</v>
      </c>
      <c r="S11" s="3">
        <v>21</v>
      </c>
      <c r="T11" s="3">
        <v>9.5</v>
      </c>
      <c r="U11" s="3">
        <v>6.7</v>
      </c>
      <c r="V11" s="3">
        <v>3.9</v>
      </c>
      <c r="W11" s="3">
        <v>10.4</v>
      </c>
      <c r="X11" s="3">
        <v>7.9</v>
      </c>
      <c r="Y11" s="3">
        <v>24</v>
      </c>
      <c r="Z11" s="3">
        <v>33.799999999999997</v>
      </c>
      <c r="AA11" s="3">
        <v>14.4</v>
      </c>
      <c r="AB11" s="3">
        <v>5.8</v>
      </c>
      <c r="AC11" s="3">
        <v>0.8</v>
      </c>
      <c r="AD11" s="3">
        <v>5.5</v>
      </c>
      <c r="AE11" s="3">
        <v>43.6</v>
      </c>
      <c r="AF11" s="3">
        <v>8.3000000000000007</v>
      </c>
      <c r="AG11" s="3">
        <v>16.5</v>
      </c>
      <c r="AH11" s="3">
        <v>7.8</v>
      </c>
      <c r="AI11" s="3">
        <v>14.1</v>
      </c>
      <c r="AJ11" s="3">
        <v>7.6</v>
      </c>
      <c r="AK11" s="3">
        <v>6.9</v>
      </c>
      <c r="AL11" s="3">
        <f>SUM(B11:AK11)</f>
        <v>311.90000000000009</v>
      </c>
    </row>
    <row r="12" spans="1:38" x14ac:dyDescent="0.25">
      <c r="A12" s="2">
        <v>2024</v>
      </c>
      <c r="B12" s="3">
        <v>21</v>
      </c>
      <c r="C12" s="3">
        <v>2.2000000000000002</v>
      </c>
      <c r="D12" s="3">
        <v>6.1</v>
      </c>
      <c r="E12" s="3">
        <v>12</v>
      </c>
      <c r="F12" s="3">
        <v>4.7</v>
      </c>
      <c r="G12" s="3">
        <v>0.3</v>
      </c>
      <c r="H12" s="3">
        <v>9.6999999999999993</v>
      </c>
      <c r="I12" s="3">
        <v>1.6</v>
      </c>
      <c r="J12" s="3">
        <v>4.5</v>
      </c>
      <c r="K12" s="3">
        <v>1.4</v>
      </c>
      <c r="L12" s="3">
        <v>17.100000000000001</v>
      </c>
      <c r="M12" s="3"/>
      <c r="N12" s="3">
        <v>18.2</v>
      </c>
      <c r="O12" s="3">
        <v>22.5</v>
      </c>
      <c r="P12" s="3">
        <v>9.6</v>
      </c>
      <c r="Q12" s="3">
        <v>35.799999999999997</v>
      </c>
      <c r="R12" s="3">
        <v>39.9</v>
      </c>
      <c r="S12" s="3">
        <v>10</v>
      </c>
      <c r="T12" s="3">
        <v>30.3</v>
      </c>
      <c r="U12" s="3">
        <v>19.7</v>
      </c>
      <c r="V12" s="3">
        <v>9.5</v>
      </c>
      <c r="W12" s="3">
        <v>24.9</v>
      </c>
      <c r="X12" s="3">
        <v>15.1</v>
      </c>
      <c r="Y12" s="3">
        <v>31.1</v>
      </c>
      <c r="Z12" s="3">
        <v>16.2</v>
      </c>
      <c r="AA12" s="3">
        <v>0.3</v>
      </c>
      <c r="AB12" s="3">
        <v>4</v>
      </c>
      <c r="AC12" s="3">
        <v>0</v>
      </c>
      <c r="AD12" s="3">
        <v>6</v>
      </c>
      <c r="AE12" s="3">
        <v>34.1</v>
      </c>
      <c r="AF12" s="3">
        <v>20</v>
      </c>
      <c r="AG12" s="3">
        <v>4</v>
      </c>
      <c r="AH12" s="3">
        <v>8.4</v>
      </c>
      <c r="AI12" s="3">
        <v>2.2000000000000002</v>
      </c>
      <c r="AJ12" s="3">
        <v>8.6</v>
      </c>
      <c r="AK12" s="3">
        <v>6.3</v>
      </c>
      <c r="AL12" s="3">
        <f t="shared" ref="AL12:AL14" si="1">SUM(B12:AK12)</f>
        <v>457.30000000000007</v>
      </c>
    </row>
    <row r="13" spans="1:38" x14ac:dyDescent="0.25">
      <c r="A13" s="2">
        <v>2025</v>
      </c>
      <c r="B13" s="3">
        <v>15.5</v>
      </c>
      <c r="C13" s="3">
        <v>3.8</v>
      </c>
      <c r="D13" s="3">
        <v>8.9</v>
      </c>
      <c r="E13" s="3">
        <v>2.8</v>
      </c>
      <c r="F13" s="3">
        <v>0.3</v>
      </c>
      <c r="G13" s="3">
        <v>1</v>
      </c>
      <c r="H13" s="3">
        <v>4.5</v>
      </c>
      <c r="I13" s="3">
        <v>2.2999999999999998</v>
      </c>
      <c r="J13" s="3">
        <v>11.1</v>
      </c>
      <c r="K13" s="3">
        <v>12.6</v>
      </c>
      <c r="L13" s="3">
        <v>1.2</v>
      </c>
      <c r="M13" s="3">
        <v>12.3</v>
      </c>
      <c r="N13" s="3">
        <v>10.3</v>
      </c>
      <c r="O13" s="3">
        <v>16.100000000000001</v>
      </c>
      <c r="P13" s="3">
        <v>5.8</v>
      </c>
      <c r="Q13" s="3">
        <v>16.2</v>
      </c>
      <c r="R13" s="3">
        <v>8.3000000000000007</v>
      </c>
      <c r="S13" s="3">
        <v>20.7</v>
      </c>
      <c r="T13" s="3">
        <v>21.2</v>
      </c>
      <c r="U13" s="3">
        <v>38.5</v>
      </c>
      <c r="V13" s="3">
        <v>18.5</v>
      </c>
      <c r="W13" s="3">
        <v>17.7</v>
      </c>
      <c r="X13" s="3">
        <v>32.299999999999997</v>
      </c>
      <c r="Y13" s="3">
        <v>1</v>
      </c>
      <c r="Z13" s="3">
        <v>20.399999999999999</v>
      </c>
      <c r="AA13" s="3">
        <v>0.4</v>
      </c>
      <c r="AB13" s="3">
        <v>11.1</v>
      </c>
      <c r="AC13" s="3">
        <v>6</v>
      </c>
      <c r="AD13" s="3">
        <v>0.2</v>
      </c>
      <c r="AE13" s="3">
        <v>0</v>
      </c>
      <c r="AF13" s="3">
        <v>41</v>
      </c>
      <c r="AG13" s="3">
        <v>6.1</v>
      </c>
      <c r="AH13" s="3">
        <v>5.4</v>
      </c>
      <c r="AI13" s="3">
        <v>4.5</v>
      </c>
      <c r="AJ13" s="3">
        <v>8.1</v>
      </c>
      <c r="AK13" s="3">
        <v>2.5</v>
      </c>
      <c r="AL13" s="3">
        <f t="shared" si="1"/>
        <v>388.59999999999997</v>
      </c>
    </row>
    <row r="14" spans="1:38" x14ac:dyDescent="0.25">
      <c r="A14" s="2">
        <v>2026</v>
      </c>
      <c r="B14" s="3">
        <v>17.2</v>
      </c>
      <c r="C14" s="3">
        <v>2.7</v>
      </c>
      <c r="D14" s="3">
        <v>1.4</v>
      </c>
      <c r="E14" s="3">
        <v>16.100000000000001</v>
      </c>
      <c r="F14" s="3">
        <v>5.2</v>
      </c>
      <c r="G14" s="3">
        <v>3.8</v>
      </c>
      <c r="H14" s="3">
        <v>11.4</v>
      </c>
      <c r="I14" s="3">
        <v>7.6</v>
      </c>
      <c r="J14" s="3">
        <v>0</v>
      </c>
      <c r="K14" s="3">
        <v>5.7</v>
      </c>
      <c r="L14" s="3"/>
      <c r="M14" s="3">
        <v>10.4</v>
      </c>
      <c r="N14" s="3">
        <v>6.4</v>
      </c>
      <c r="O14" s="3">
        <v>2.7</v>
      </c>
      <c r="P14" s="3">
        <v>10</v>
      </c>
      <c r="Q14" s="3">
        <v>10.5</v>
      </c>
      <c r="R14" s="3">
        <v>24.5</v>
      </c>
      <c r="S14" s="3">
        <v>0.7</v>
      </c>
      <c r="T14" s="3">
        <v>21.5</v>
      </c>
      <c r="U14" s="3">
        <v>15.1</v>
      </c>
      <c r="V14" s="3">
        <v>42.2</v>
      </c>
      <c r="W14" s="3">
        <v>5.4</v>
      </c>
      <c r="X14" s="3">
        <v>11.7</v>
      </c>
      <c r="Y14" s="3">
        <v>2</v>
      </c>
      <c r="Z14" s="3">
        <v>0.9</v>
      </c>
      <c r="AA14" s="3">
        <v>6.2</v>
      </c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>
        <f t="shared" si="1"/>
        <v>241.3</v>
      </c>
    </row>
    <row r="15" spans="1:38" x14ac:dyDescent="0.25">
      <c r="A15" s="46" t="s">
        <v>20</v>
      </c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</row>
    <row r="16" spans="1:38" x14ac:dyDescent="0.25">
      <c r="A16" s="41" t="s">
        <v>0</v>
      </c>
      <c r="B16" s="38" t="s">
        <v>1</v>
      </c>
      <c r="C16" s="39"/>
      <c r="D16" s="40"/>
      <c r="E16" s="38" t="s">
        <v>2</v>
      </c>
      <c r="F16" s="39"/>
      <c r="G16" s="40"/>
      <c r="H16" s="38" t="s">
        <v>3</v>
      </c>
      <c r="I16" s="39"/>
      <c r="J16" s="40"/>
      <c r="K16" s="38" t="s">
        <v>4</v>
      </c>
      <c r="L16" s="39"/>
      <c r="M16" s="40"/>
      <c r="N16" s="38" t="s">
        <v>5</v>
      </c>
      <c r="O16" s="39"/>
      <c r="P16" s="40"/>
      <c r="Q16" s="38" t="s">
        <v>6</v>
      </c>
      <c r="R16" s="39"/>
      <c r="S16" s="40"/>
      <c r="T16" s="38" t="s">
        <v>7</v>
      </c>
      <c r="U16" s="39"/>
      <c r="V16" s="40"/>
      <c r="W16" s="38" t="s">
        <v>8</v>
      </c>
      <c r="X16" s="39"/>
      <c r="Y16" s="40"/>
      <c r="Z16" s="38" t="s">
        <v>9</v>
      </c>
      <c r="AA16" s="39"/>
      <c r="AB16" s="40"/>
      <c r="AC16" s="38" t="s">
        <v>10</v>
      </c>
      <c r="AD16" s="39"/>
      <c r="AE16" s="40"/>
      <c r="AF16" s="38" t="s">
        <v>11</v>
      </c>
      <c r="AG16" s="39"/>
      <c r="AH16" s="40"/>
      <c r="AI16" s="38" t="s">
        <v>12</v>
      </c>
      <c r="AJ16" s="39"/>
      <c r="AK16" s="40"/>
      <c r="AL16" s="41" t="s">
        <v>18</v>
      </c>
    </row>
    <row r="17" spans="1:49" x14ac:dyDescent="0.25">
      <c r="A17" s="45"/>
      <c r="B17" s="1" t="s">
        <v>14</v>
      </c>
      <c r="C17" s="1" t="s">
        <v>15</v>
      </c>
      <c r="D17" s="1" t="s">
        <v>16</v>
      </c>
      <c r="E17" s="1" t="s">
        <v>14</v>
      </c>
      <c r="F17" s="1" t="s">
        <v>15</v>
      </c>
      <c r="G17" s="1" t="s">
        <v>16</v>
      </c>
      <c r="H17" s="1" t="s">
        <v>14</v>
      </c>
      <c r="I17" s="1" t="s">
        <v>15</v>
      </c>
      <c r="J17" s="1" t="s">
        <v>16</v>
      </c>
      <c r="K17" s="1" t="s">
        <v>14</v>
      </c>
      <c r="L17" s="1" t="s">
        <v>15</v>
      </c>
      <c r="M17" s="1" t="s">
        <v>16</v>
      </c>
      <c r="N17" s="1" t="s">
        <v>14</v>
      </c>
      <c r="O17" s="1" t="s">
        <v>15</v>
      </c>
      <c r="P17" s="1" t="s">
        <v>16</v>
      </c>
      <c r="Q17" s="1" t="s">
        <v>14</v>
      </c>
      <c r="R17" s="1" t="s">
        <v>15</v>
      </c>
      <c r="S17" s="1" t="s">
        <v>16</v>
      </c>
      <c r="T17" s="1" t="s">
        <v>14</v>
      </c>
      <c r="U17" s="1" t="s">
        <v>15</v>
      </c>
      <c r="V17" s="1" t="s">
        <v>16</v>
      </c>
      <c r="W17" s="1" t="s">
        <v>14</v>
      </c>
      <c r="X17" s="1" t="s">
        <v>15</v>
      </c>
      <c r="Y17" s="1" t="s">
        <v>16</v>
      </c>
      <c r="Z17" s="1" t="s">
        <v>14</v>
      </c>
      <c r="AA17" s="1" t="s">
        <v>15</v>
      </c>
      <c r="AB17" s="1" t="s">
        <v>16</v>
      </c>
      <c r="AC17" s="1" t="s">
        <v>14</v>
      </c>
      <c r="AD17" s="1" t="s">
        <v>15</v>
      </c>
      <c r="AE17" s="1" t="s">
        <v>16</v>
      </c>
      <c r="AF17" s="1" t="s">
        <v>14</v>
      </c>
      <c r="AG17" s="1" t="s">
        <v>15</v>
      </c>
      <c r="AH17" s="1" t="s">
        <v>16</v>
      </c>
      <c r="AI17" s="1" t="s">
        <v>14</v>
      </c>
      <c r="AJ17" s="1" t="s">
        <v>15</v>
      </c>
      <c r="AK17" s="1" t="s">
        <v>16</v>
      </c>
      <c r="AL17" s="43"/>
    </row>
    <row r="18" spans="1:49" x14ac:dyDescent="0.25">
      <c r="A18" s="2">
        <v>2016</v>
      </c>
      <c r="B18" s="3">
        <v>-25.8</v>
      </c>
      <c r="C18" s="3">
        <v>-19.899999999999999</v>
      </c>
      <c r="D18" s="3">
        <v>-19.2</v>
      </c>
      <c r="E18" s="3">
        <v>-8.4</v>
      </c>
      <c r="F18" s="3">
        <v>-12.5</v>
      </c>
      <c r="G18" s="3">
        <v>-5.5</v>
      </c>
      <c r="H18" s="3">
        <v>-8</v>
      </c>
      <c r="I18" s="3">
        <v>-4.7</v>
      </c>
      <c r="J18" s="3">
        <v>-1.7</v>
      </c>
      <c r="K18" s="3">
        <v>5.2</v>
      </c>
      <c r="L18" s="3">
        <v>11.2</v>
      </c>
      <c r="M18" s="3">
        <v>9.6</v>
      </c>
      <c r="N18" s="3">
        <v>8.6</v>
      </c>
      <c r="O18" s="3">
        <v>11.9</v>
      </c>
      <c r="P18" s="3">
        <v>19.100000000000001</v>
      </c>
      <c r="Q18" s="3">
        <v>17.399999999999999</v>
      </c>
      <c r="R18" s="3">
        <v>18.3</v>
      </c>
      <c r="S18" s="3">
        <v>19</v>
      </c>
      <c r="T18" s="3">
        <v>19.899999999999999</v>
      </c>
      <c r="U18" s="3">
        <v>20.6</v>
      </c>
      <c r="V18" s="3">
        <v>18.399999999999999</v>
      </c>
      <c r="W18" s="3">
        <v>20.5</v>
      </c>
      <c r="X18" s="3">
        <v>22.1</v>
      </c>
      <c r="Y18" s="3">
        <v>17.7</v>
      </c>
      <c r="Z18" s="3">
        <v>17.600000000000001</v>
      </c>
      <c r="AA18" s="3">
        <v>13.4</v>
      </c>
      <c r="AB18" s="3">
        <v>10.9</v>
      </c>
      <c r="AC18" s="3">
        <v>4.3</v>
      </c>
      <c r="AD18" s="3">
        <v>-1.4</v>
      </c>
      <c r="AE18" s="3">
        <v>-2.9</v>
      </c>
      <c r="AF18" s="3">
        <v>-4.9000000000000004</v>
      </c>
      <c r="AG18" s="3">
        <v>-21.3</v>
      </c>
      <c r="AH18" s="3">
        <v>-8.1999999999999993</v>
      </c>
      <c r="AI18" s="3">
        <v>-10.5</v>
      </c>
      <c r="AJ18" s="3">
        <v>-14</v>
      </c>
      <c r="AK18" s="3">
        <v>-17.8</v>
      </c>
      <c r="AL18" s="3">
        <f t="shared" ref="AL18:AL27" si="2">AVERAGE(B18:AK18)</f>
        <v>2.7499999999999987</v>
      </c>
    </row>
    <row r="19" spans="1:49" x14ac:dyDescent="0.25">
      <c r="A19" s="2">
        <v>2017</v>
      </c>
      <c r="B19" s="3">
        <v>-9.1</v>
      </c>
      <c r="C19" s="3">
        <v>-17.7</v>
      </c>
      <c r="D19" s="3">
        <v>-16</v>
      </c>
      <c r="E19" s="3">
        <v>-17.600000000000001</v>
      </c>
      <c r="F19" s="3">
        <v>-19.899999999999999</v>
      </c>
      <c r="G19" s="3">
        <v>-5.8</v>
      </c>
      <c r="H19" s="3">
        <v>-8.9</v>
      </c>
      <c r="I19" s="3">
        <v>-12.3</v>
      </c>
      <c r="J19" s="3">
        <v>-3.9</v>
      </c>
      <c r="K19" s="3">
        <v>-0.7</v>
      </c>
      <c r="L19" s="3">
        <v>8</v>
      </c>
      <c r="M19" s="3">
        <v>10.9</v>
      </c>
      <c r="N19" s="3">
        <v>12</v>
      </c>
      <c r="O19" s="3">
        <v>13.2</v>
      </c>
      <c r="P19" s="3">
        <v>15.6</v>
      </c>
      <c r="Q19" s="3">
        <v>17.600000000000001</v>
      </c>
      <c r="R19" s="3">
        <v>22.4</v>
      </c>
      <c r="S19" s="3">
        <v>22.3</v>
      </c>
      <c r="T19" s="3">
        <v>19.3</v>
      </c>
      <c r="U19" s="3">
        <v>17.899999999999999</v>
      </c>
      <c r="V19" s="3">
        <v>21.4</v>
      </c>
      <c r="W19" s="3">
        <v>20.8</v>
      </c>
      <c r="X19" s="3">
        <v>16.5</v>
      </c>
      <c r="Y19" s="3">
        <v>21.9</v>
      </c>
      <c r="Z19" s="3">
        <v>16.899999999999999</v>
      </c>
      <c r="AA19" s="3">
        <v>12.4</v>
      </c>
      <c r="AB19" s="3">
        <v>4.5999999999999996</v>
      </c>
      <c r="AC19" s="3">
        <v>1.9</v>
      </c>
      <c r="AD19" s="3">
        <v>5</v>
      </c>
      <c r="AE19" s="3">
        <v>-0.8</v>
      </c>
      <c r="AF19" s="3">
        <v>0</v>
      </c>
      <c r="AG19" s="3">
        <v>-2.2000000000000002</v>
      </c>
      <c r="AH19" s="3">
        <v>-9.6999999999999993</v>
      </c>
      <c r="AI19" s="3">
        <v>-10.199999999999999</v>
      </c>
      <c r="AJ19" s="3">
        <v>-20.9</v>
      </c>
      <c r="AK19" s="3">
        <v>-10.4</v>
      </c>
      <c r="AL19" s="3">
        <f t="shared" si="2"/>
        <v>3.1805555555555562</v>
      </c>
    </row>
    <row r="20" spans="1:49" x14ac:dyDescent="0.25">
      <c r="A20" s="2">
        <v>2018</v>
      </c>
      <c r="B20" s="3">
        <v>-19.600000000000001</v>
      </c>
      <c r="C20" s="3">
        <v>-17.8</v>
      </c>
      <c r="D20" s="3">
        <v>-26</v>
      </c>
      <c r="E20" s="3">
        <v>-18.100000000000001</v>
      </c>
      <c r="F20" s="3">
        <v>-17.899999999999999</v>
      </c>
      <c r="G20" s="3">
        <v>-14.3</v>
      </c>
      <c r="H20" s="3">
        <v>-14.1</v>
      </c>
      <c r="I20" s="3">
        <v>-11.2</v>
      </c>
      <c r="J20" s="3">
        <v>-4.9000000000000004</v>
      </c>
      <c r="K20" s="3">
        <v>-1.6</v>
      </c>
      <c r="L20" s="3">
        <v>3.1</v>
      </c>
      <c r="M20" s="3">
        <v>8.9</v>
      </c>
      <c r="N20" s="3">
        <v>6.4</v>
      </c>
      <c r="O20" s="3">
        <v>8.1999999999999993</v>
      </c>
      <c r="P20" s="3">
        <v>11.6</v>
      </c>
      <c r="Q20" s="3">
        <v>17.3</v>
      </c>
      <c r="R20" s="3">
        <v>16.3</v>
      </c>
      <c r="S20" s="3">
        <v>18.7</v>
      </c>
      <c r="T20" s="3">
        <v>22.3</v>
      </c>
      <c r="U20" s="3">
        <v>22.9</v>
      </c>
      <c r="V20" s="3">
        <v>17.2</v>
      </c>
      <c r="W20" s="3">
        <v>19.8</v>
      </c>
      <c r="X20" s="3">
        <v>17.3</v>
      </c>
      <c r="Y20" s="3">
        <v>13.7</v>
      </c>
      <c r="Z20" s="3">
        <v>11</v>
      </c>
      <c r="AA20" s="3">
        <v>11.3</v>
      </c>
      <c r="AB20" s="3">
        <v>12.1</v>
      </c>
      <c r="AC20" s="3">
        <v>9.1999999999999993</v>
      </c>
      <c r="AD20" s="3">
        <v>1.6</v>
      </c>
      <c r="AE20" s="3">
        <v>2.1</v>
      </c>
      <c r="AF20" s="3">
        <v>-2.7</v>
      </c>
      <c r="AG20" s="3">
        <v>-6.8</v>
      </c>
      <c r="AH20" s="3">
        <v>-7.2</v>
      </c>
      <c r="AI20" s="3">
        <v>-15.9</v>
      </c>
      <c r="AJ20" s="3">
        <v>-14.7</v>
      </c>
      <c r="AK20" s="3">
        <v>-22.5</v>
      </c>
      <c r="AL20" s="3">
        <f t="shared" si="2"/>
        <v>0.99166666666666592</v>
      </c>
    </row>
    <row r="21" spans="1:49" x14ac:dyDescent="0.25">
      <c r="A21" s="2">
        <v>2019</v>
      </c>
      <c r="B21" s="3">
        <v>-16.5</v>
      </c>
      <c r="C21" s="3">
        <v>-21.9</v>
      </c>
      <c r="D21" s="3">
        <v>-17.600000000000001</v>
      </c>
      <c r="E21" s="3">
        <v>-26</v>
      </c>
      <c r="F21" s="3">
        <v>-12.3</v>
      </c>
      <c r="G21" s="3">
        <v>-13</v>
      </c>
      <c r="H21" s="3">
        <v>-8.1999999999999993</v>
      </c>
      <c r="I21" s="3">
        <v>-4.9000000000000004</v>
      </c>
      <c r="J21" s="3">
        <v>-1.5</v>
      </c>
      <c r="K21" s="3">
        <v>4.4000000000000004</v>
      </c>
      <c r="L21" s="3">
        <v>2.7</v>
      </c>
      <c r="M21" s="3">
        <v>6.4</v>
      </c>
      <c r="N21" s="3">
        <v>13.2</v>
      </c>
      <c r="O21" s="3">
        <v>10.3</v>
      </c>
      <c r="P21" s="3">
        <v>13.2</v>
      </c>
      <c r="Q21" s="3">
        <v>14.8</v>
      </c>
      <c r="R21" s="3">
        <v>15.5</v>
      </c>
      <c r="S21" s="3">
        <v>16.8</v>
      </c>
      <c r="T21" s="3">
        <v>19.7</v>
      </c>
      <c r="U21" s="3">
        <v>23.6</v>
      </c>
      <c r="V21" s="3">
        <v>21</v>
      </c>
      <c r="W21" s="3">
        <v>19.8</v>
      </c>
      <c r="X21" s="3">
        <v>21.1</v>
      </c>
      <c r="Y21" s="3">
        <v>16.2</v>
      </c>
      <c r="Z21" s="3">
        <v>11.5</v>
      </c>
      <c r="AA21" s="3">
        <v>14.6</v>
      </c>
      <c r="AB21" s="3">
        <v>7.1</v>
      </c>
      <c r="AC21" s="3">
        <v>11</v>
      </c>
      <c r="AD21" s="3">
        <v>5.0999999999999996</v>
      </c>
      <c r="AE21" s="3">
        <v>3.9</v>
      </c>
      <c r="AF21" s="3">
        <v>-2.5</v>
      </c>
      <c r="AG21" s="3">
        <v>-9.9</v>
      </c>
      <c r="AH21" s="3">
        <v>-14.1</v>
      </c>
      <c r="AI21" s="3">
        <v>-6.1</v>
      </c>
      <c r="AJ21" s="3">
        <v>-10.6</v>
      </c>
      <c r="AK21" s="3">
        <v>-11.9</v>
      </c>
      <c r="AL21" s="3">
        <f t="shared" si="2"/>
        <v>2.636111111111112</v>
      </c>
    </row>
    <row r="22" spans="1:49" x14ac:dyDescent="0.25">
      <c r="A22" s="2">
        <v>2020</v>
      </c>
      <c r="B22" s="3">
        <v>-7.2</v>
      </c>
      <c r="C22" s="3">
        <v>-10.4</v>
      </c>
      <c r="D22" s="3">
        <v>-10.9</v>
      </c>
      <c r="E22" s="3">
        <v>-9.3000000000000007</v>
      </c>
      <c r="F22" s="3">
        <v>-9.1999999999999993</v>
      </c>
      <c r="G22" s="3">
        <v>-4.8</v>
      </c>
      <c r="H22" s="3">
        <v>-5.7</v>
      </c>
      <c r="I22" s="3">
        <v>-1.1000000000000001</v>
      </c>
      <c r="J22" s="3">
        <v>-1</v>
      </c>
      <c r="K22" s="3">
        <v>5</v>
      </c>
      <c r="L22" s="3">
        <v>10.6</v>
      </c>
      <c r="M22" s="3">
        <v>13.4</v>
      </c>
      <c r="N22" s="3">
        <v>13.7</v>
      </c>
      <c r="O22" s="3">
        <v>19.5</v>
      </c>
      <c r="P22" s="3">
        <v>19.3</v>
      </c>
      <c r="Q22" s="3">
        <v>18.7</v>
      </c>
      <c r="R22" s="3">
        <v>18.2</v>
      </c>
      <c r="S22" s="3">
        <v>16.5</v>
      </c>
      <c r="T22" s="3">
        <v>21.6</v>
      </c>
      <c r="U22" s="3">
        <v>25.3</v>
      </c>
      <c r="V22" s="3">
        <v>19.600000000000001</v>
      </c>
      <c r="W22" s="3">
        <v>25.7</v>
      </c>
      <c r="X22" s="3">
        <v>17.100000000000001</v>
      </c>
      <c r="Y22" s="3">
        <v>17.3</v>
      </c>
      <c r="Z22" s="3">
        <v>12.6</v>
      </c>
      <c r="AA22" s="3">
        <v>14.3</v>
      </c>
      <c r="AB22" s="3">
        <v>8.1</v>
      </c>
      <c r="AC22" s="3">
        <v>4.9000000000000004</v>
      </c>
      <c r="AD22" s="3">
        <v>7.9</v>
      </c>
      <c r="AE22" s="3">
        <v>1.7</v>
      </c>
      <c r="AF22" s="3">
        <v>2.5</v>
      </c>
      <c r="AG22" s="3">
        <v>-7.5</v>
      </c>
      <c r="AH22" s="3">
        <v>-11.4</v>
      </c>
      <c r="AI22" s="3">
        <v>-15.1</v>
      </c>
      <c r="AJ22" s="3">
        <v>-11.8</v>
      </c>
      <c r="AK22" s="3">
        <v>-17.2</v>
      </c>
      <c r="AL22" s="3">
        <f t="shared" si="2"/>
        <v>5.302777777777778</v>
      </c>
    </row>
    <row r="23" spans="1:49" x14ac:dyDescent="0.25">
      <c r="A23" s="2">
        <v>2021</v>
      </c>
      <c r="B23" s="3">
        <v>-26.5</v>
      </c>
      <c r="C23" s="3">
        <v>-18.899999999999999</v>
      </c>
      <c r="D23" s="3">
        <v>-16.399999999999999</v>
      </c>
      <c r="E23" s="3">
        <v>-12</v>
      </c>
      <c r="F23" s="3">
        <v>-16.100000000000001</v>
      </c>
      <c r="G23" s="3">
        <v>-22.5</v>
      </c>
      <c r="H23" s="3">
        <v>-9.6999999999999993</v>
      </c>
      <c r="I23" s="3">
        <v>-13.4</v>
      </c>
      <c r="J23" s="3">
        <v>-5.5</v>
      </c>
      <c r="K23" s="3">
        <v>-0.8</v>
      </c>
      <c r="L23" s="3">
        <v>4.7</v>
      </c>
      <c r="M23" s="3">
        <v>7.7</v>
      </c>
      <c r="N23" s="3">
        <v>13</v>
      </c>
      <c r="O23" s="3">
        <v>17.899999999999999</v>
      </c>
      <c r="P23" s="3">
        <v>21.9</v>
      </c>
      <c r="Q23" s="3">
        <v>16.399999999999999</v>
      </c>
      <c r="R23" s="3">
        <v>20</v>
      </c>
      <c r="S23" s="3">
        <v>17.7</v>
      </c>
      <c r="T23" s="3">
        <v>24.2</v>
      </c>
      <c r="U23" s="3">
        <v>17.899999999999999</v>
      </c>
      <c r="V23" s="3">
        <v>21.5</v>
      </c>
      <c r="W23" s="3">
        <v>21.3</v>
      </c>
      <c r="X23" s="3">
        <v>19.100000000000001</v>
      </c>
      <c r="Y23" s="3">
        <v>20.6</v>
      </c>
      <c r="Z23" s="3">
        <v>14.3</v>
      </c>
      <c r="AA23" s="3">
        <v>10.8</v>
      </c>
      <c r="AB23" s="3">
        <v>5</v>
      </c>
      <c r="AC23" s="3">
        <v>3.3</v>
      </c>
      <c r="AD23" s="3">
        <v>5.0999999999999996</v>
      </c>
      <c r="AE23" s="3">
        <v>3.3</v>
      </c>
      <c r="AF23" s="3">
        <v>-2.4</v>
      </c>
      <c r="AG23" s="3">
        <v>-8.5</v>
      </c>
      <c r="AH23" s="3">
        <v>-9.9</v>
      </c>
      <c r="AI23" s="3">
        <v>-8.9</v>
      </c>
      <c r="AJ23" s="3">
        <v>-8.1</v>
      </c>
      <c r="AK23" s="3">
        <v>-13.4</v>
      </c>
      <c r="AL23" s="3">
        <f t="shared" si="2"/>
        <v>2.5749999999999988</v>
      </c>
    </row>
    <row r="24" spans="1:49" x14ac:dyDescent="0.25">
      <c r="A24" s="2">
        <v>2022</v>
      </c>
      <c r="B24" s="3">
        <v>-11</v>
      </c>
      <c r="C24" s="3">
        <v>-15</v>
      </c>
      <c r="D24" s="3">
        <v>-12.5</v>
      </c>
      <c r="E24" s="3">
        <v>-13.9</v>
      </c>
      <c r="F24" s="3">
        <v>-16.899999999999999</v>
      </c>
      <c r="G24" s="3">
        <v>-9.5</v>
      </c>
      <c r="H24" s="3">
        <v>-10.199999999999999</v>
      </c>
      <c r="I24" s="3">
        <v>-15.4</v>
      </c>
      <c r="J24" s="3">
        <v>-4.9000000000000004</v>
      </c>
      <c r="K24" s="3">
        <v>6.2</v>
      </c>
      <c r="L24" s="3">
        <v>9.8000000000000007</v>
      </c>
      <c r="M24" s="3">
        <v>8.8000000000000007</v>
      </c>
      <c r="N24" s="3">
        <v>10.1</v>
      </c>
      <c r="O24" s="3">
        <v>16.399999999999999</v>
      </c>
      <c r="P24" s="3">
        <v>19.100000000000001</v>
      </c>
      <c r="Q24" s="3">
        <v>17.5</v>
      </c>
      <c r="R24" s="3">
        <v>20.7</v>
      </c>
      <c r="S24" s="3">
        <v>19</v>
      </c>
      <c r="T24" s="3">
        <v>18.7</v>
      </c>
      <c r="U24" s="3">
        <v>23.2</v>
      </c>
      <c r="V24" s="3">
        <v>21.2</v>
      </c>
      <c r="W24" s="3">
        <v>20.6</v>
      </c>
      <c r="X24" s="3">
        <v>16.2</v>
      </c>
      <c r="Y24" s="3">
        <v>17</v>
      </c>
      <c r="Z24" s="3">
        <v>17.399999999999999</v>
      </c>
      <c r="AA24" s="3">
        <v>11.8</v>
      </c>
      <c r="AB24" s="3">
        <v>10.7</v>
      </c>
      <c r="AC24" s="3">
        <v>6.9</v>
      </c>
      <c r="AD24" s="3">
        <v>7.2</v>
      </c>
      <c r="AE24" s="3">
        <v>-1.1000000000000001</v>
      </c>
      <c r="AF24" s="3">
        <v>0.1</v>
      </c>
      <c r="AG24" s="3">
        <v>-5.4</v>
      </c>
      <c r="AH24" s="3">
        <v>-18.899999999999999</v>
      </c>
      <c r="AI24" s="3">
        <v>-21.6</v>
      </c>
      <c r="AJ24" s="3">
        <v>-15.2</v>
      </c>
      <c r="AK24" s="3">
        <v>-13.4</v>
      </c>
      <c r="AL24" s="3">
        <f t="shared" si="2"/>
        <v>3.1583333333333328</v>
      </c>
    </row>
    <row r="25" spans="1:49" x14ac:dyDescent="0.25">
      <c r="A25" s="2">
        <v>2023</v>
      </c>
      <c r="B25" s="3">
        <v>-13.3</v>
      </c>
      <c r="C25" s="3">
        <v>-12.4</v>
      </c>
      <c r="D25" s="3">
        <v>-11.9</v>
      </c>
      <c r="E25" s="3">
        <v>-20</v>
      </c>
      <c r="F25" s="3">
        <v>-19.100000000000001</v>
      </c>
      <c r="G25" s="3">
        <v>-6.5</v>
      </c>
      <c r="H25" s="3">
        <v>-4.4000000000000004</v>
      </c>
      <c r="I25" s="3">
        <v>-5.8</v>
      </c>
      <c r="J25" s="3">
        <v>-0.8</v>
      </c>
      <c r="K25" s="3">
        <v>2.9</v>
      </c>
      <c r="L25" s="3">
        <v>0.3</v>
      </c>
      <c r="M25" s="3">
        <v>10.9</v>
      </c>
      <c r="N25" s="3">
        <v>11.9</v>
      </c>
      <c r="O25" s="3">
        <v>11.5</v>
      </c>
      <c r="P25" s="3">
        <v>18.7</v>
      </c>
      <c r="Q25" s="3">
        <v>25.9</v>
      </c>
      <c r="R25" s="3">
        <v>18.600000000000001</v>
      </c>
      <c r="S25" s="3">
        <v>15</v>
      </c>
      <c r="T25" s="3">
        <v>23.9</v>
      </c>
      <c r="U25" s="3">
        <v>24.7</v>
      </c>
      <c r="V25" s="3">
        <v>22.6</v>
      </c>
      <c r="W25" s="3">
        <v>23</v>
      </c>
      <c r="X25" s="3">
        <v>19.899999999999999</v>
      </c>
      <c r="Y25" s="3">
        <v>16.100000000000001</v>
      </c>
      <c r="Z25" s="3">
        <v>12.8</v>
      </c>
      <c r="AA25" s="3">
        <v>14.2</v>
      </c>
      <c r="AB25" s="3">
        <v>11.9</v>
      </c>
      <c r="AC25" s="3">
        <v>10.199999999999999</v>
      </c>
      <c r="AD25" s="3">
        <v>6.2</v>
      </c>
      <c r="AE25" s="3">
        <v>0.3</v>
      </c>
      <c r="AF25" s="3">
        <v>-0.4</v>
      </c>
      <c r="AG25" s="3">
        <v>0.5</v>
      </c>
      <c r="AH25" s="3">
        <v>-3.2</v>
      </c>
      <c r="AI25" s="3">
        <v>-14.8</v>
      </c>
      <c r="AJ25" s="3">
        <v>-21.7</v>
      </c>
      <c r="AK25" s="3">
        <v>-4.5</v>
      </c>
      <c r="AL25" s="3">
        <f t="shared" si="2"/>
        <v>4.5333333333333341</v>
      </c>
    </row>
    <row r="26" spans="1:49" x14ac:dyDescent="0.25">
      <c r="A26" s="2">
        <v>2024</v>
      </c>
      <c r="B26" s="3">
        <v>-10.9</v>
      </c>
      <c r="C26" s="3">
        <v>-19.399999999999999</v>
      </c>
      <c r="D26" s="3">
        <v>-17.399999999999999</v>
      </c>
      <c r="E26" s="3">
        <v>-9.3000000000000007</v>
      </c>
      <c r="F26" s="3">
        <v>-23.1</v>
      </c>
      <c r="G26" s="3">
        <v>-15.4</v>
      </c>
      <c r="H26" s="3">
        <v>-9.6</v>
      </c>
      <c r="I26" s="3">
        <v>-11.2</v>
      </c>
      <c r="J26" s="3">
        <v>-2.9</v>
      </c>
      <c r="K26" s="3">
        <v>3.2</v>
      </c>
      <c r="L26" s="3">
        <v>8.8000000000000007</v>
      </c>
      <c r="M26" s="3">
        <v>9.6</v>
      </c>
      <c r="N26" s="3">
        <v>9.1</v>
      </c>
      <c r="O26" s="3">
        <v>13.1</v>
      </c>
      <c r="P26" s="3">
        <v>9.4</v>
      </c>
      <c r="Q26" s="3">
        <v>17.600000000000001</v>
      </c>
      <c r="R26" s="3">
        <v>20.7</v>
      </c>
      <c r="S26" s="3">
        <v>22.8</v>
      </c>
      <c r="T26" s="3">
        <v>19.8</v>
      </c>
      <c r="U26" s="3">
        <v>22.6</v>
      </c>
      <c r="V26" s="3">
        <v>19.600000000000001</v>
      </c>
      <c r="W26" s="3">
        <v>19</v>
      </c>
      <c r="X26" s="3">
        <v>16.600000000000001</v>
      </c>
      <c r="Y26" s="3">
        <v>15.1</v>
      </c>
      <c r="Z26" s="3">
        <v>11.9</v>
      </c>
      <c r="AA26" s="3">
        <v>12</v>
      </c>
      <c r="AB26" s="3">
        <v>8.9</v>
      </c>
      <c r="AC26" s="3">
        <v>8.3000000000000007</v>
      </c>
      <c r="AD26" s="3">
        <v>-0.9</v>
      </c>
      <c r="AE26" s="3">
        <v>3.3</v>
      </c>
      <c r="AF26" s="3">
        <v>-2.2000000000000002</v>
      </c>
      <c r="AG26" s="3">
        <v>-5.9</v>
      </c>
      <c r="AH26" s="3">
        <v>-10.4</v>
      </c>
      <c r="AI26" s="3">
        <v>-10.7</v>
      </c>
      <c r="AJ26" s="3">
        <v>-7.6</v>
      </c>
      <c r="AK26" s="3">
        <v>-9.5</v>
      </c>
      <c r="AL26" s="3">
        <f t="shared" si="2"/>
        <v>2.916666666666667</v>
      </c>
    </row>
    <row r="27" spans="1:49" x14ac:dyDescent="0.25">
      <c r="A27" s="2">
        <v>2025</v>
      </c>
      <c r="B27" s="3">
        <v>-6.4</v>
      </c>
      <c r="C27" s="3">
        <v>-9.3000000000000007</v>
      </c>
      <c r="D27" s="3">
        <v>-15.6</v>
      </c>
      <c r="E27" s="3">
        <v>-9.6</v>
      </c>
      <c r="F27" s="3">
        <v>-11.3</v>
      </c>
      <c r="G27" s="3">
        <v>-10.7</v>
      </c>
      <c r="H27" s="3">
        <v>-10.1</v>
      </c>
      <c r="I27" s="3">
        <v>-2.8</v>
      </c>
      <c r="J27" s="3">
        <v>1.2</v>
      </c>
      <c r="K27" s="3">
        <v>9.1999999999999993</v>
      </c>
      <c r="L27" s="3">
        <v>7.7</v>
      </c>
      <c r="M27" s="3">
        <v>12.4</v>
      </c>
      <c r="N27" s="3">
        <v>14.8</v>
      </c>
      <c r="O27" s="3">
        <v>16.2</v>
      </c>
      <c r="P27" s="3">
        <v>14.5</v>
      </c>
      <c r="Q27" s="3">
        <v>20.100000000000001</v>
      </c>
      <c r="R27" s="3">
        <v>23.8</v>
      </c>
      <c r="S27" s="3">
        <v>18.7</v>
      </c>
      <c r="T27" s="3">
        <v>21.6</v>
      </c>
      <c r="U27" s="3">
        <v>19.100000000000001</v>
      </c>
      <c r="V27" s="3">
        <v>19.8</v>
      </c>
      <c r="W27" s="3">
        <v>15.9</v>
      </c>
      <c r="X27" s="3">
        <v>17.3</v>
      </c>
      <c r="Y27" s="3">
        <v>18.2</v>
      </c>
      <c r="Z27" s="3">
        <v>14.6</v>
      </c>
      <c r="AA27" s="3">
        <v>12.2</v>
      </c>
      <c r="AB27" s="3">
        <v>11</v>
      </c>
      <c r="AC27" s="3">
        <v>3.6</v>
      </c>
      <c r="AD27" s="3">
        <v>-0.5</v>
      </c>
      <c r="AE27" s="3">
        <v>2.6</v>
      </c>
      <c r="AF27" s="3">
        <v>-2.5</v>
      </c>
      <c r="AG27" s="3">
        <v>-0.4</v>
      </c>
      <c r="AH27" s="3">
        <v>-1.2</v>
      </c>
      <c r="AI27" s="3">
        <v>-5.8</v>
      </c>
      <c r="AJ27" s="3">
        <v>-11.2</v>
      </c>
      <c r="AK27" s="3">
        <v>-13.2</v>
      </c>
      <c r="AL27" s="3">
        <f t="shared" si="2"/>
        <v>5.1083333333333325</v>
      </c>
    </row>
    <row r="28" spans="1:49" x14ac:dyDescent="0.25">
      <c r="A28" s="2">
        <v>2026</v>
      </c>
      <c r="B28" s="3">
        <v>-12.1</v>
      </c>
      <c r="C28" s="3">
        <v>-20.7</v>
      </c>
      <c r="D28" s="3">
        <v>-21.3</v>
      </c>
      <c r="E28" s="3">
        <v>-13.4</v>
      </c>
      <c r="F28" s="3">
        <v>-13.3</v>
      </c>
      <c r="G28" s="3">
        <v>-21.7</v>
      </c>
      <c r="H28" s="3">
        <v>-11.7</v>
      </c>
      <c r="I28" s="3">
        <v>-3.9</v>
      </c>
      <c r="J28" s="3">
        <v>2.2999999999999998</v>
      </c>
      <c r="K28" s="3">
        <v>7.3</v>
      </c>
      <c r="L28" s="3">
        <v>5.3</v>
      </c>
      <c r="M28" s="3">
        <v>12.9</v>
      </c>
      <c r="N28" s="3">
        <v>15.9</v>
      </c>
      <c r="O28" s="3">
        <v>12.9</v>
      </c>
      <c r="P28" s="3">
        <v>17.399999999999999</v>
      </c>
      <c r="Q28" s="3">
        <v>22.2</v>
      </c>
      <c r="R28" s="3">
        <v>22.6</v>
      </c>
      <c r="S28" s="3">
        <v>24.6</v>
      </c>
      <c r="T28" s="3">
        <v>22.5</v>
      </c>
      <c r="U28" s="3">
        <v>23.8</v>
      </c>
      <c r="V28" s="3">
        <v>23.1</v>
      </c>
      <c r="W28" s="3">
        <v>22.9</v>
      </c>
      <c r="X28" s="3">
        <v>20.100000000000001</v>
      </c>
      <c r="Y28" s="3">
        <v>17</v>
      </c>
      <c r="Z28" s="3">
        <v>17.3</v>
      </c>
      <c r="AA28" s="3">
        <v>16.899999999999999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4"/>
    </row>
    <row r="30" spans="1:49" x14ac:dyDescent="0.25">
      <c r="A30" s="44" t="s">
        <v>21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  <c r="AJ30" s="44"/>
      <c r="AK30" s="44"/>
      <c r="AL30" s="44"/>
    </row>
    <row r="31" spans="1:49" x14ac:dyDescent="0.25">
      <c r="A31" s="41" t="s">
        <v>0</v>
      </c>
      <c r="B31" s="37" t="s">
        <v>5</v>
      </c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 t="s">
        <v>6</v>
      </c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6" t="s">
        <v>7</v>
      </c>
      <c r="AA31" s="36"/>
      <c r="AB31" s="36"/>
      <c r="AC31" s="36"/>
      <c r="AD31" s="36"/>
      <c r="AE31" s="36"/>
      <c r="AF31" s="36"/>
      <c r="AG31" s="36"/>
      <c r="AH31" s="36"/>
      <c r="AI31" s="36"/>
      <c r="AJ31" s="36"/>
      <c r="AK31" s="36"/>
      <c r="AL31" s="36" t="s">
        <v>8</v>
      </c>
      <c r="AM31" s="36"/>
      <c r="AN31" s="36"/>
      <c r="AO31" s="36"/>
      <c r="AP31" s="36"/>
      <c r="AQ31" s="36"/>
      <c r="AR31" s="36"/>
      <c r="AS31" s="36"/>
      <c r="AT31" s="36"/>
      <c r="AU31" s="36"/>
      <c r="AV31" s="36"/>
      <c r="AW31" s="36"/>
    </row>
    <row r="32" spans="1:49" x14ac:dyDescent="0.25">
      <c r="A32" s="42"/>
      <c r="B32" s="37" t="s">
        <v>14</v>
      </c>
      <c r="C32" s="37"/>
      <c r="D32" s="37"/>
      <c r="E32" s="37"/>
      <c r="F32" s="38" t="s">
        <v>15</v>
      </c>
      <c r="G32" s="39"/>
      <c r="H32" s="39"/>
      <c r="I32" s="40"/>
      <c r="J32" s="38" t="s">
        <v>16</v>
      </c>
      <c r="K32" s="39"/>
      <c r="L32" s="39"/>
      <c r="M32" s="40"/>
      <c r="N32" s="37" t="s">
        <v>14</v>
      </c>
      <c r="O32" s="37"/>
      <c r="P32" s="37"/>
      <c r="Q32" s="37"/>
      <c r="R32" s="38" t="s">
        <v>15</v>
      </c>
      <c r="S32" s="39"/>
      <c r="T32" s="39"/>
      <c r="U32" s="40"/>
      <c r="V32" s="38" t="s">
        <v>16</v>
      </c>
      <c r="W32" s="39"/>
      <c r="X32" s="39"/>
      <c r="Y32" s="40"/>
      <c r="Z32" s="37" t="s">
        <v>14</v>
      </c>
      <c r="AA32" s="37"/>
      <c r="AB32" s="37"/>
      <c r="AC32" s="37"/>
      <c r="AD32" s="38" t="s">
        <v>15</v>
      </c>
      <c r="AE32" s="39"/>
      <c r="AF32" s="39"/>
      <c r="AG32" s="40"/>
      <c r="AH32" s="38" t="s">
        <v>16</v>
      </c>
      <c r="AI32" s="39"/>
      <c r="AJ32" s="39"/>
      <c r="AK32" s="40"/>
      <c r="AL32" s="37" t="s">
        <v>14</v>
      </c>
      <c r="AM32" s="37"/>
      <c r="AN32" s="37"/>
      <c r="AO32" s="37"/>
      <c r="AP32" s="38" t="s">
        <v>15</v>
      </c>
      <c r="AQ32" s="39"/>
      <c r="AR32" s="39"/>
      <c r="AS32" s="40"/>
      <c r="AT32" s="38" t="s">
        <v>16</v>
      </c>
      <c r="AU32" s="39"/>
      <c r="AV32" s="39"/>
      <c r="AW32" s="40"/>
    </row>
    <row r="33" spans="1:49" x14ac:dyDescent="0.25">
      <c r="A33" s="43"/>
      <c r="B33" s="5" t="s">
        <v>22</v>
      </c>
      <c r="C33" s="5" t="s">
        <v>23</v>
      </c>
      <c r="D33" s="5" t="s">
        <v>24</v>
      </c>
      <c r="E33" s="5" t="s">
        <v>25</v>
      </c>
      <c r="F33" s="5" t="s">
        <v>22</v>
      </c>
      <c r="G33" s="5" t="s">
        <v>23</v>
      </c>
      <c r="H33" s="5" t="s">
        <v>24</v>
      </c>
      <c r="I33" s="5" t="s">
        <v>25</v>
      </c>
      <c r="J33" s="5" t="s">
        <v>22</v>
      </c>
      <c r="K33" s="5" t="s">
        <v>23</v>
      </c>
      <c r="L33" s="5" t="s">
        <v>24</v>
      </c>
      <c r="M33" s="5" t="s">
        <v>25</v>
      </c>
      <c r="N33" s="5" t="s">
        <v>22</v>
      </c>
      <c r="O33" s="5" t="s">
        <v>23</v>
      </c>
      <c r="P33" s="5" t="s">
        <v>24</v>
      </c>
      <c r="Q33" s="5" t="s">
        <v>25</v>
      </c>
      <c r="R33" s="5" t="s">
        <v>22</v>
      </c>
      <c r="S33" s="5" t="s">
        <v>23</v>
      </c>
      <c r="T33" s="5" t="s">
        <v>24</v>
      </c>
      <c r="U33" s="5" t="s">
        <v>25</v>
      </c>
      <c r="V33" s="5" t="s">
        <v>22</v>
      </c>
      <c r="W33" s="5" t="s">
        <v>23</v>
      </c>
      <c r="X33" s="5" t="s">
        <v>24</v>
      </c>
      <c r="Y33" s="5" t="s">
        <v>25</v>
      </c>
      <c r="Z33" s="5" t="s">
        <v>22</v>
      </c>
      <c r="AA33" s="5" t="s">
        <v>23</v>
      </c>
      <c r="AB33" s="5" t="s">
        <v>24</v>
      </c>
      <c r="AC33" s="5" t="s">
        <v>25</v>
      </c>
      <c r="AD33" s="5" t="s">
        <v>22</v>
      </c>
      <c r="AE33" s="5" t="s">
        <v>23</v>
      </c>
      <c r="AF33" s="5" t="s">
        <v>24</v>
      </c>
      <c r="AG33" s="5" t="s">
        <v>25</v>
      </c>
      <c r="AH33" s="5" t="s">
        <v>22</v>
      </c>
      <c r="AI33" s="5" t="s">
        <v>23</v>
      </c>
      <c r="AJ33" s="5" t="s">
        <v>24</v>
      </c>
      <c r="AK33" s="5" t="s">
        <v>25</v>
      </c>
      <c r="AL33" s="5" t="s">
        <v>22</v>
      </c>
      <c r="AM33" s="5" t="s">
        <v>23</v>
      </c>
      <c r="AN33" s="5" t="s">
        <v>24</v>
      </c>
      <c r="AO33" s="5" t="s">
        <v>25</v>
      </c>
      <c r="AP33" s="5" t="s">
        <v>22</v>
      </c>
      <c r="AQ33" s="5" t="s">
        <v>23</v>
      </c>
      <c r="AR33" s="5" t="s">
        <v>24</v>
      </c>
      <c r="AS33" s="5" t="s">
        <v>25</v>
      </c>
      <c r="AT33" s="5" t="s">
        <v>22</v>
      </c>
      <c r="AU33" s="5" t="s">
        <v>23</v>
      </c>
      <c r="AV33" s="5" t="s">
        <v>24</v>
      </c>
      <c r="AW33" s="5" t="s">
        <v>25</v>
      </c>
    </row>
    <row r="34" spans="1:49" s="9" customFormat="1" x14ac:dyDescent="0.25">
      <c r="A34" s="7">
        <v>2016</v>
      </c>
      <c r="B34" s="8">
        <v>240</v>
      </c>
      <c r="C34" s="8">
        <v>62</v>
      </c>
      <c r="D34" s="8">
        <v>17</v>
      </c>
      <c r="E34" s="8">
        <v>8</v>
      </c>
      <c r="F34" s="8">
        <v>120</v>
      </c>
      <c r="G34" s="8">
        <v>38</v>
      </c>
      <c r="H34" s="8">
        <v>11</v>
      </c>
      <c r="I34" s="8">
        <v>4</v>
      </c>
      <c r="J34" s="8">
        <v>129</v>
      </c>
      <c r="K34" s="8">
        <v>46</v>
      </c>
      <c r="L34" s="8">
        <v>15</v>
      </c>
      <c r="M34" s="8">
        <v>7</v>
      </c>
      <c r="N34" s="8">
        <v>139</v>
      </c>
      <c r="O34" s="8">
        <v>53</v>
      </c>
      <c r="P34" s="8">
        <v>20</v>
      </c>
      <c r="Q34" s="8">
        <v>10</v>
      </c>
      <c r="R34" s="8">
        <v>130</v>
      </c>
      <c r="S34" s="8">
        <v>50</v>
      </c>
      <c r="T34" s="8">
        <v>13</v>
      </c>
      <c r="U34" s="8">
        <v>6</v>
      </c>
      <c r="V34" s="8">
        <v>113</v>
      </c>
      <c r="W34" s="8">
        <v>42</v>
      </c>
      <c r="X34" s="8">
        <v>15</v>
      </c>
      <c r="Y34" s="8">
        <v>8</v>
      </c>
      <c r="Z34" s="8">
        <v>125</v>
      </c>
      <c r="AA34" s="8">
        <v>51</v>
      </c>
      <c r="AB34" s="8">
        <v>28</v>
      </c>
      <c r="AC34" s="8">
        <v>14</v>
      </c>
      <c r="AD34" s="8">
        <v>118</v>
      </c>
      <c r="AE34" s="8">
        <v>48</v>
      </c>
      <c r="AF34" s="8">
        <v>26</v>
      </c>
      <c r="AG34" s="8">
        <v>13</v>
      </c>
      <c r="AH34" s="8">
        <v>146</v>
      </c>
      <c r="AI34" s="8">
        <v>76</v>
      </c>
      <c r="AJ34" s="8">
        <v>45</v>
      </c>
      <c r="AK34" s="8">
        <v>28</v>
      </c>
      <c r="AL34" s="8">
        <v>123</v>
      </c>
      <c r="AM34" s="8">
        <v>60</v>
      </c>
      <c r="AN34" s="8">
        <v>32</v>
      </c>
      <c r="AO34" s="8">
        <v>18</v>
      </c>
      <c r="AP34" s="8">
        <v>96</v>
      </c>
      <c r="AQ34" s="8">
        <v>36</v>
      </c>
      <c r="AR34" s="8">
        <v>12</v>
      </c>
      <c r="AS34" s="8">
        <v>5</v>
      </c>
      <c r="AT34" s="8">
        <v>87</v>
      </c>
      <c r="AU34" s="8">
        <v>31</v>
      </c>
      <c r="AV34" s="8">
        <v>8</v>
      </c>
      <c r="AW34" s="8">
        <v>3</v>
      </c>
    </row>
    <row r="35" spans="1:49" s="9" customFormat="1" x14ac:dyDescent="0.25">
      <c r="A35" s="7">
        <v>2017</v>
      </c>
      <c r="B35" s="8">
        <v>137</v>
      </c>
      <c r="C35" s="8">
        <v>76</v>
      </c>
      <c r="D35" s="8">
        <v>26</v>
      </c>
      <c r="E35" s="8">
        <v>12</v>
      </c>
      <c r="F35" s="8">
        <v>137</v>
      </c>
      <c r="G35" s="8">
        <v>74</v>
      </c>
      <c r="H35" s="8">
        <v>24</v>
      </c>
      <c r="I35" s="8">
        <v>11</v>
      </c>
      <c r="J35" s="8">
        <v>144</v>
      </c>
      <c r="K35" s="8">
        <v>79</v>
      </c>
      <c r="L35" s="8">
        <v>28</v>
      </c>
      <c r="M35" s="8">
        <v>13</v>
      </c>
      <c r="N35" s="8">
        <v>148</v>
      </c>
      <c r="O35" s="8">
        <v>81</v>
      </c>
      <c r="P35" s="8">
        <v>29</v>
      </c>
      <c r="Q35" s="8">
        <v>14</v>
      </c>
      <c r="R35" s="8">
        <v>120</v>
      </c>
      <c r="S35" s="8">
        <v>59</v>
      </c>
      <c r="T35" s="8">
        <v>20</v>
      </c>
      <c r="U35" s="8">
        <v>8</v>
      </c>
      <c r="V35" s="8">
        <v>101</v>
      </c>
      <c r="W35" s="8">
        <v>44</v>
      </c>
      <c r="X35" s="8">
        <v>13</v>
      </c>
      <c r="Y35" s="8">
        <v>5</v>
      </c>
      <c r="Z35" s="8">
        <v>82</v>
      </c>
      <c r="AA35" s="8">
        <v>35</v>
      </c>
      <c r="AB35" s="8">
        <v>9</v>
      </c>
      <c r="AC35" s="8">
        <v>3</v>
      </c>
      <c r="AD35" s="8">
        <v>98</v>
      </c>
      <c r="AE35" s="8">
        <v>46</v>
      </c>
      <c r="AF35" s="8">
        <v>17</v>
      </c>
      <c r="AG35" s="8">
        <v>8</v>
      </c>
      <c r="AH35" s="8">
        <v>114</v>
      </c>
      <c r="AI35" s="8">
        <v>56</v>
      </c>
      <c r="AJ35" s="8">
        <v>24</v>
      </c>
      <c r="AK35" s="8">
        <v>13</v>
      </c>
      <c r="AL35" s="8">
        <v>110</v>
      </c>
      <c r="AM35" s="8">
        <v>49</v>
      </c>
      <c r="AN35" s="8">
        <v>21</v>
      </c>
      <c r="AO35" s="8">
        <v>11</v>
      </c>
      <c r="AP35" s="8">
        <v>90</v>
      </c>
      <c r="AQ35" s="8">
        <v>42</v>
      </c>
      <c r="AR35" s="8">
        <v>18</v>
      </c>
      <c r="AS35" s="8">
        <v>9</v>
      </c>
      <c r="AT35" s="8">
        <v>75</v>
      </c>
      <c r="AU35" s="8">
        <v>29</v>
      </c>
      <c r="AV35" s="8">
        <v>11</v>
      </c>
      <c r="AW35" s="8">
        <v>5</v>
      </c>
    </row>
    <row r="36" spans="1:49" s="9" customFormat="1" x14ac:dyDescent="0.25">
      <c r="A36" s="7">
        <v>2018</v>
      </c>
      <c r="B36" s="8">
        <v>159</v>
      </c>
      <c r="C36" s="8">
        <v>81</v>
      </c>
      <c r="D36" s="8">
        <v>33</v>
      </c>
      <c r="E36" s="8">
        <v>17</v>
      </c>
      <c r="F36" s="8">
        <v>74</v>
      </c>
      <c r="G36" s="8">
        <v>37</v>
      </c>
      <c r="H36" s="8">
        <v>16</v>
      </c>
      <c r="I36" s="8">
        <v>9</v>
      </c>
      <c r="J36" s="8">
        <v>135</v>
      </c>
      <c r="K36" s="8">
        <v>67</v>
      </c>
      <c r="L36" s="8">
        <v>26</v>
      </c>
      <c r="M36" s="8">
        <v>13</v>
      </c>
      <c r="N36" s="8">
        <v>93</v>
      </c>
      <c r="O36" s="8">
        <v>42</v>
      </c>
      <c r="P36" s="8">
        <v>17</v>
      </c>
      <c r="Q36" s="8">
        <v>10</v>
      </c>
      <c r="R36" s="8">
        <v>80</v>
      </c>
      <c r="S36" s="8">
        <v>38</v>
      </c>
      <c r="T36" s="8">
        <v>16</v>
      </c>
      <c r="U36" s="8">
        <v>8</v>
      </c>
      <c r="V36" s="8">
        <v>139</v>
      </c>
      <c r="W36" s="8">
        <v>65</v>
      </c>
      <c r="X36" s="8">
        <v>26</v>
      </c>
      <c r="Y36" s="8">
        <v>13</v>
      </c>
      <c r="Z36" s="8">
        <v>119</v>
      </c>
      <c r="AA36" s="8">
        <v>52</v>
      </c>
      <c r="AB36" s="8">
        <v>20</v>
      </c>
      <c r="AC36" s="8">
        <v>10</v>
      </c>
      <c r="AD36" s="8">
        <v>123</v>
      </c>
      <c r="AE36" s="8">
        <v>57</v>
      </c>
      <c r="AF36" s="8">
        <v>22</v>
      </c>
      <c r="AG36" s="8">
        <v>11</v>
      </c>
      <c r="AH36" s="8">
        <v>141</v>
      </c>
      <c r="AI36" s="8">
        <v>67</v>
      </c>
      <c r="AJ36" s="8">
        <v>26</v>
      </c>
      <c r="AK36" s="8">
        <v>13</v>
      </c>
      <c r="AL36" s="8">
        <v>103</v>
      </c>
      <c r="AM36" s="8">
        <v>49</v>
      </c>
      <c r="AN36" s="8">
        <v>21</v>
      </c>
      <c r="AO36" s="8">
        <v>11</v>
      </c>
      <c r="AP36" s="8">
        <v>104</v>
      </c>
      <c r="AQ36" s="8">
        <v>48</v>
      </c>
      <c r="AR36" s="8">
        <v>19</v>
      </c>
      <c r="AS36" s="8">
        <v>10</v>
      </c>
      <c r="AT36" s="8">
        <v>124</v>
      </c>
      <c r="AU36" s="8">
        <v>63</v>
      </c>
      <c r="AV36" s="8">
        <v>27</v>
      </c>
      <c r="AW36" s="8">
        <v>14</v>
      </c>
    </row>
    <row r="37" spans="1:49" s="9" customFormat="1" x14ac:dyDescent="0.25">
      <c r="A37" s="7">
        <v>2019</v>
      </c>
      <c r="B37" s="19">
        <v>138</v>
      </c>
      <c r="C37" s="19">
        <v>71</v>
      </c>
      <c r="D37" s="19">
        <v>29</v>
      </c>
      <c r="E37" s="19">
        <v>15</v>
      </c>
      <c r="F37" s="19">
        <v>134</v>
      </c>
      <c r="G37" s="19">
        <v>68</v>
      </c>
      <c r="H37" s="19">
        <v>29</v>
      </c>
      <c r="I37" s="19">
        <v>15</v>
      </c>
      <c r="J37" s="19">
        <v>124</v>
      </c>
      <c r="K37" s="19">
        <v>62</v>
      </c>
      <c r="L37" s="19">
        <v>27</v>
      </c>
      <c r="M37" s="19">
        <v>14</v>
      </c>
      <c r="N37" s="19">
        <v>154</v>
      </c>
      <c r="O37" s="19">
        <v>79</v>
      </c>
      <c r="P37" s="19">
        <v>33</v>
      </c>
      <c r="Q37" s="19">
        <v>17</v>
      </c>
      <c r="R37" s="19">
        <v>145</v>
      </c>
      <c r="S37" s="19">
        <v>73</v>
      </c>
      <c r="T37" s="19">
        <v>31</v>
      </c>
      <c r="U37" s="19">
        <v>16</v>
      </c>
      <c r="V37" s="19">
        <v>128</v>
      </c>
      <c r="W37" s="19">
        <v>60</v>
      </c>
      <c r="X37" s="19">
        <v>22</v>
      </c>
      <c r="Y37" s="19">
        <v>11</v>
      </c>
      <c r="Z37" s="19">
        <v>98</v>
      </c>
      <c r="AA37" s="19">
        <v>44</v>
      </c>
      <c r="AB37" s="19">
        <v>18</v>
      </c>
      <c r="AC37" s="19">
        <v>10</v>
      </c>
      <c r="AD37" s="19">
        <v>89</v>
      </c>
      <c r="AE37" s="19">
        <v>31</v>
      </c>
      <c r="AF37" s="19">
        <v>9</v>
      </c>
      <c r="AG37" s="19">
        <v>5</v>
      </c>
      <c r="AH37" s="19">
        <v>97</v>
      </c>
      <c r="AI37" s="19">
        <v>41</v>
      </c>
      <c r="AJ37" s="19">
        <v>17</v>
      </c>
      <c r="AK37" s="19">
        <v>9</v>
      </c>
      <c r="AL37" s="19">
        <v>90</v>
      </c>
      <c r="AM37" s="19">
        <v>38</v>
      </c>
      <c r="AN37" s="19">
        <v>13</v>
      </c>
      <c r="AO37" s="19">
        <v>7</v>
      </c>
      <c r="AP37" s="19">
        <v>84</v>
      </c>
      <c r="AQ37" s="19">
        <v>34</v>
      </c>
      <c r="AR37" s="19">
        <v>11</v>
      </c>
      <c r="AS37" s="19">
        <v>6</v>
      </c>
      <c r="AT37" s="19">
        <v>77</v>
      </c>
      <c r="AU37" s="19">
        <v>29</v>
      </c>
      <c r="AV37" s="19">
        <v>10</v>
      </c>
      <c r="AW37" s="19">
        <v>6</v>
      </c>
    </row>
    <row r="38" spans="1:49" s="9" customFormat="1" ht="15.75" thickBot="1" x14ac:dyDescent="0.3">
      <c r="A38" s="7">
        <v>2020</v>
      </c>
      <c r="B38" s="8">
        <v>158</v>
      </c>
      <c r="C38" s="8">
        <v>81</v>
      </c>
      <c r="D38" s="8">
        <v>32</v>
      </c>
      <c r="E38" s="8">
        <v>16</v>
      </c>
      <c r="F38" s="8">
        <v>148</v>
      </c>
      <c r="G38" s="8">
        <v>72</v>
      </c>
      <c r="H38" s="8">
        <v>31</v>
      </c>
      <c r="I38" s="8">
        <v>14</v>
      </c>
      <c r="J38" s="8">
        <v>137</v>
      </c>
      <c r="K38" s="8">
        <v>68</v>
      </c>
      <c r="L38" s="8">
        <v>26</v>
      </c>
      <c r="M38" s="8">
        <v>13</v>
      </c>
      <c r="N38" s="11">
        <v>105</v>
      </c>
      <c r="O38" s="11">
        <v>50</v>
      </c>
      <c r="P38" s="11">
        <v>20</v>
      </c>
      <c r="Q38" s="11">
        <v>10</v>
      </c>
      <c r="R38" s="8">
        <v>93</v>
      </c>
      <c r="S38" s="8">
        <v>43</v>
      </c>
      <c r="T38" s="8">
        <v>17</v>
      </c>
      <c r="U38" s="8">
        <v>9</v>
      </c>
      <c r="V38" s="8">
        <v>122</v>
      </c>
      <c r="W38" s="8">
        <v>64</v>
      </c>
      <c r="X38" s="8">
        <v>27</v>
      </c>
      <c r="Y38" s="8">
        <v>13</v>
      </c>
      <c r="Z38" s="8">
        <v>118</v>
      </c>
      <c r="AA38" s="8">
        <v>62</v>
      </c>
      <c r="AB38" s="8">
        <v>25</v>
      </c>
      <c r="AC38" s="8">
        <v>13</v>
      </c>
      <c r="AD38" s="8">
        <v>101</v>
      </c>
      <c r="AE38" s="8">
        <v>47</v>
      </c>
      <c r="AF38" s="8">
        <v>19</v>
      </c>
      <c r="AG38" s="8">
        <v>10</v>
      </c>
      <c r="AH38" s="8">
        <v>98</v>
      </c>
      <c r="AI38" s="8">
        <v>45</v>
      </c>
      <c r="AJ38" s="8">
        <v>18</v>
      </c>
      <c r="AK38" s="8">
        <v>9</v>
      </c>
      <c r="AL38" s="8">
        <v>92</v>
      </c>
      <c r="AM38" s="8">
        <v>41</v>
      </c>
      <c r="AN38" s="8">
        <v>17</v>
      </c>
      <c r="AO38" s="8">
        <v>9</v>
      </c>
      <c r="AP38" s="8">
        <v>107</v>
      </c>
      <c r="AQ38" s="8">
        <v>45</v>
      </c>
      <c r="AR38" s="8">
        <v>24</v>
      </c>
      <c r="AS38" s="8">
        <v>12</v>
      </c>
      <c r="AT38" s="8">
        <v>101</v>
      </c>
      <c r="AU38" s="8">
        <v>49</v>
      </c>
      <c r="AV38" s="8">
        <v>21</v>
      </c>
      <c r="AW38" s="8">
        <v>10</v>
      </c>
    </row>
    <row r="39" spans="1:49" s="9" customFormat="1" ht="15.75" thickBot="1" x14ac:dyDescent="0.3">
      <c r="A39" s="7">
        <v>2021</v>
      </c>
      <c r="B39" s="8">
        <v>138</v>
      </c>
      <c r="C39" s="8">
        <v>71</v>
      </c>
      <c r="D39" s="8">
        <v>29</v>
      </c>
      <c r="E39" s="8">
        <v>15</v>
      </c>
      <c r="F39" s="8">
        <v>132</v>
      </c>
      <c r="G39" s="8">
        <v>67</v>
      </c>
      <c r="H39" s="8">
        <v>27</v>
      </c>
      <c r="I39" s="8">
        <v>14</v>
      </c>
      <c r="J39" s="8">
        <v>127</v>
      </c>
      <c r="K39" s="8">
        <v>65</v>
      </c>
      <c r="L39" s="8">
        <v>26</v>
      </c>
      <c r="M39" s="8">
        <v>13</v>
      </c>
      <c r="N39" s="8">
        <v>124</v>
      </c>
      <c r="O39" s="8">
        <v>63</v>
      </c>
      <c r="P39" s="8">
        <v>25</v>
      </c>
      <c r="Q39" s="8">
        <v>13</v>
      </c>
      <c r="R39" s="8">
        <v>122</v>
      </c>
      <c r="S39" s="8">
        <v>63</v>
      </c>
      <c r="T39" s="8">
        <v>27</v>
      </c>
      <c r="U39" s="8">
        <v>13</v>
      </c>
      <c r="V39" s="8">
        <v>119</v>
      </c>
      <c r="W39" s="8">
        <v>62</v>
      </c>
      <c r="X39" s="8">
        <v>27</v>
      </c>
      <c r="Y39" s="8">
        <v>14</v>
      </c>
      <c r="Z39" s="18">
        <v>119</v>
      </c>
      <c r="AA39" s="6">
        <v>62</v>
      </c>
      <c r="AB39" s="6">
        <v>27</v>
      </c>
      <c r="AC39" s="6">
        <v>14</v>
      </c>
      <c r="AD39" s="8">
        <v>127</v>
      </c>
      <c r="AE39" s="8">
        <v>67</v>
      </c>
      <c r="AF39" s="8">
        <v>29</v>
      </c>
      <c r="AG39" s="8">
        <v>15</v>
      </c>
      <c r="AH39" s="11">
        <v>117</v>
      </c>
      <c r="AI39" s="11">
        <v>61</v>
      </c>
      <c r="AJ39" s="11">
        <v>25</v>
      </c>
      <c r="AK39" s="11">
        <v>13</v>
      </c>
      <c r="AL39" s="8">
        <v>109</v>
      </c>
      <c r="AM39" s="8">
        <v>55</v>
      </c>
      <c r="AN39" s="8">
        <v>23</v>
      </c>
      <c r="AO39" s="8">
        <v>11</v>
      </c>
      <c r="AP39" s="8">
        <v>117</v>
      </c>
      <c r="AQ39" s="8">
        <v>59</v>
      </c>
      <c r="AR39" s="8">
        <v>25</v>
      </c>
      <c r="AS39" s="8">
        <v>13</v>
      </c>
      <c r="AT39" s="8">
        <v>103</v>
      </c>
      <c r="AU39" s="8">
        <v>49</v>
      </c>
      <c r="AV39" s="8">
        <v>20</v>
      </c>
      <c r="AW39" s="8">
        <v>10</v>
      </c>
    </row>
    <row r="40" spans="1:49" s="9" customFormat="1" x14ac:dyDescent="0.25">
      <c r="A40" s="7">
        <v>2022</v>
      </c>
      <c r="B40" s="8">
        <v>126</v>
      </c>
      <c r="C40" s="8">
        <v>63</v>
      </c>
      <c r="D40" s="8">
        <v>25</v>
      </c>
      <c r="E40" s="8">
        <v>13</v>
      </c>
      <c r="F40" s="8">
        <v>118</v>
      </c>
      <c r="G40" s="8">
        <v>60</v>
      </c>
      <c r="H40" s="8">
        <v>25</v>
      </c>
      <c r="I40" s="8">
        <v>13</v>
      </c>
      <c r="J40" s="8">
        <v>107</v>
      </c>
      <c r="K40" s="8">
        <v>53</v>
      </c>
      <c r="L40" s="8">
        <v>22</v>
      </c>
      <c r="M40" s="8">
        <v>11</v>
      </c>
      <c r="N40" s="8">
        <v>100</v>
      </c>
      <c r="O40" s="8">
        <v>48</v>
      </c>
      <c r="P40" s="8">
        <v>20</v>
      </c>
      <c r="Q40" s="8">
        <v>11</v>
      </c>
      <c r="R40" s="8">
        <v>97</v>
      </c>
      <c r="S40" s="8">
        <v>46</v>
      </c>
      <c r="T40" s="8">
        <v>19</v>
      </c>
      <c r="U40" s="8">
        <v>9</v>
      </c>
      <c r="V40" s="8">
        <v>94</v>
      </c>
      <c r="W40" s="8">
        <v>45</v>
      </c>
      <c r="X40" s="8">
        <v>18</v>
      </c>
      <c r="Y40" s="8">
        <v>9</v>
      </c>
      <c r="Z40" s="8">
        <v>96</v>
      </c>
      <c r="AA40" s="8">
        <v>37</v>
      </c>
      <c r="AB40" s="8">
        <v>18</v>
      </c>
      <c r="AC40" s="8">
        <v>11</v>
      </c>
      <c r="AD40" s="8">
        <v>91</v>
      </c>
      <c r="AE40" s="8">
        <v>36</v>
      </c>
      <c r="AF40" s="8">
        <v>18</v>
      </c>
      <c r="AG40" s="8">
        <v>10</v>
      </c>
      <c r="AH40" s="8">
        <v>83</v>
      </c>
      <c r="AI40" s="8">
        <v>33</v>
      </c>
      <c r="AJ40" s="8">
        <v>16</v>
      </c>
      <c r="AK40" s="8">
        <v>9</v>
      </c>
      <c r="AL40" s="17">
        <v>94</v>
      </c>
      <c r="AM40" s="17">
        <v>42</v>
      </c>
      <c r="AN40" s="17">
        <v>20</v>
      </c>
      <c r="AO40" s="17">
        <v>11</v>
      </c>
      <c r="AP40" s="17">
        <v>87</v>
      </c>
      <c r="AQ40" s="17">
        <v>38</v>
      </c>
      <c r="AR40" s="17">
        <v>18</v>
      </c>
      <c r="AS40" s="17">
        <v>10</v>
      </c>
      <c r="AT40" s="17">
        <v>74</v>
      </c>
      <c r="AU40" s="17">
        <v>32</v>
      </c>
      <c r="AV40" s="17">
        <v>17</v>
      </c>
      <c r="AW40" s="17">
        <v>10</v>
      </c>
    </row>
    <row r="41" spans="1:49" s="9" customFormat="1" ht="15.75" x14ac:dyDescent="0.25">
      <c r="A41" s="7">
        <v>2023</v>
      </c>
      <c r="B41" s="10">
        <v>134</v>
      </c>
      <c r="C41" s="10">
        <v>69</v>
      </c>
      <c r="D41" s="10">
        <v>28</v>
      </c>
      <c r="E41" s="10">
        <v>14</v>
      </c>
      <c r="F41" s="12">
        <v>127</v>
      </c>
      <c r="G41" s="12">
        <v>65</v>
      </c>
      <c r="H41" s="12">
        <v>26</v>
      </c>
      <c r="I41" s="12">
        <v>13</v>
      </c>
      <c r="J41" s="12">
        <v>117</v>
      </c>
      <c r="K41" s="12">
        <v>59</v>
      </c>
      <c r="L41" s="12">
        <v>24</v>
      </c>
      <c r="M41" s="12">
        <v>12</v>
      </c>
      <c r="N41" s="13">
        <v>100</v>
      </c>
      <c r="O41" s="13">
        <v>40</v>
      </c>
      <c r="P41" s="13">
        <v>16</v>
      </c>
      <c r="Q41" s="13">
        <v>9</v>
      </c>
      <c r="R41" s="14">
        <v>88</v>
      </c>
      <c r="S41" s="14">
        <v>35</v>
      </c>
      <c r="T41" s="14">
        <v>15</v>
      </c>
      <c r="U41" s="14">
        <v>8</v>
      </c>
      <c r="V41" s="14">
        <v>97</v>
      </c>
      <c r="W41" s="14">
        <v>43</v>
      </c>
      <c r="X41" s="14">
        <v>19</v>
      </c>
      <c r="Y41" s="14">
        <v>10</v>
      </c>
      <c r="Z41" s="15">
        <v>101</v>
      </c>
      <c r="AA41" s="15">
        <v>47</v>
      </c>
      <c r="AB41" s="15">
        <v>20</v>
      </c>
      <c r="AC41" s="15">
        <v>11</v>
      </c>
      <c r="AD41" s="10">
        <v>94</v>
      </c>
      <c r="AE41" s="10">
        <v>45</v>
      </c>
      <c r="AF41" s="10">
        <v>20</v>
      </c>
      <c r="AG41" s="10">
        <v>10</v>
      </c>
      <c r="AH41" s="10">
        <v>83</v>
      </c>
      <c r="AI41" s="10">
        <v>37</v>
      </c>
      <c r="AJ41" s="10">
        <v>15</v>
      </c>
      <c r="AK41" s="10">
        <v>8</v>
      </c>
      <c r="AL41" s="10">
        <v>98</v>
      </c>
      <c r="AM41" s="10">
        <v>43</v>
      </c>
      <c r="AN41" s="10">
        <v>19</v>
      </c>
      <c r="AO41" s="10">
        <v>10</v>
      </c>
      <c r="AP41" s="10">
        <v>90</v>
      </c>
      <c r="AQ41" s="10">
        <v>90</v>
      </c>
      <c r="AR41" s="10">
        <v>16</v>
      </c>
      <c r="AS41" s="10">
        <v>8</v>
      </c>
      <c r="AT41" s="16">
        <v>91</v>
      </c>
      <c r="AU41" s="16">
        <v>49</v>
      </c>
      <c r="AV41" s="16">
        <v>17</v>
      </c>
      <c r="AW41" s="16">
        <v>9</v>
      </c>
    </row>
    <row r="42" spans="1:49" s="9" customFormat="1" x14ac:dyDescent="0.25">
      <c r="A42" s="7">
        <v>2024</v>
      </c>
      <c r="B42" s="8">
        <v>176</v>
      </c>
      <c r="C42" s="8">
        <v>91</v>
      </c>
      <c r="D42" s="8">
        <v>39</v>
      </c>
      <c r="E42" s="8">
        <v>20</v>
      </c>
      <c r="F42" s="8">
        <v>160</v>
      </c>
      <c r="G42" s="8">
        <v>83</v>
      </c>
      <c r="H42" s="8">
        <v>35</v>
      </c>
      <c r="I42" s="8">
        <v>18</v>
      </c>
      <c r="J42" s="8">
        <v>139</v>
      </c>
      <c r="K42" s="8">
        <v>69</v>
      </c>
      <c r="L42" s="8">
        <v>29</v>
      </c>
      <c r="M42" s="8">
        <v>14</v>
      </c>
      <c r="N42" s="8">
        <v>137</v>
      </c>
      <c r="O42" s="8">
        <v>68</v>
      </c>
      <c r="P42" s="8">
        <v>28</v>
      </c>
      <c r="Q42" s="8">
        <v>14</v>
      </c>
      <c r="R42" s="8">
        <v>136</v>
      </c>
      <c r="S42" s="8">
        <v>72</v>
      </c>
      <c r="T42" s="8">
        <v>30</v>
      </c>
      <c r="U42" s="8">
        <v>16</v>
      </c>
      <c r="V42" s="8">
        <v>128</v>
      </c>
      <c r="W42" s="8">
        <v>69</v>
      </c>
      <c r="X42" s="8">
        <v>28</v>
      </c>
      <c r="Y42" s="8">
        <v>14</v>
      </c>
      <c r="Z42" s="8">
        <v>171</v>
      </c>
      <c r="AA42" s="8">
        <v>95</v>
      </c>
      <c r="AB42" s="8">
        <v>40</v>
      </c>
      <c r="AC42" s="8">
        <v>21</v>
      </c>
      <c r="AD42" s="8">
        <v>153</v>
      </c>
      <c r="AE42" s="8">
        <v>82</v>
      </c>
      <c r="AF42" s="8">
        <v>33</v>
      </c>
      <c r="AG42" s="8">
        <v>17</v>
      </c>
      <c r="AH42" s="11">
        <v>150</v>
      </c>
      <c r="AI42" s="11">
        <v>82</v>
      </c>
      <c r="AJ42" s="11">
        <v>34</v>
      </c>
      <c r="AK42" s="11">
        <v>18</v>
      </c>
      <c r="AL42" s="8">
        <v>154</v>
      </c>
      <c r="AM42" s="8">
        <v>87</v>
      </c>
      <c r="AN42" s="8">
        <v>38</v>
      </c>
      <c r="AO42" s="8">
        <v>20</v>
      </c>
      <c r="AP42" s="11">
        <v>138</v>
      </c>
      <c r="AQ42" s="11">
        <v>75</v>
      </c>
      <c r="AR42" s="11">
        <v>33</v>
      </c>
      <c r="AS42" s="11">
        <v>17</v>
      </c>
      <c r="AT42" s="8">
        <v>128</v>
      </c>
      <c r="AU42" s="8">
        <v>69</v>
      </c>
      <c r="AV42" s="8">
        <v>30</v>
      </c>
      <c r="AW42" s="8">
        <v>16</v>
      </c>
    </row>
    <row r="43" spans="1:49" s="9" customFormat="1" x14ac:dyDescent="0.25">
      <c r="A43" s="7">
        <v>2025</v>
      </c>
      <c r="B43" s="8">
        <v>175</v>
      </c>
      <c r="C43" s="8">
        <v>84</v>
      </c>
      <c r="D43" s="8">
        <v>33</v>
      </c>
      <c r="E43" s="8">
        <v>16</v>
      </c>
      <c r="F43" s="8">
        <v>158</v>
      </c>
      <c r="G43" s="8">
        <v>73</v>
      </c>
      <c r="H43" s="8">
        <v>30</v>
      </c>
      <c r="I43" s="8">
        <v>15</v>
      </c>
      <c r="J43" s="8">
        <v>160</v>
      </c>
      <c r="K43" s="8">
        <v>74</v>
      </c>
      <c r="L43" s="8">
        <v>30</v>
      </c>
      <c r="M43" s="8">
        <v>15</v>
      </c>
      <c r="N43" s="8">
        <v>172</v>
      </c>
      <c r="O43" s="8">
        <v>80</v>
      </c>
      <c r="P43" s="8">
        <v>31</v>
      </c>
      <c r="Q43" s="8">
        <v>15</v>
      </c>
      <c r="R43" s="8">
        <v>149</v>
      </c>
      <c r="S43" s="8">
        <v>68</v>
      </c>
      <c r="T43" s="8">
        <v>28</v>
      </c>
      <c r="U43" s="8">
        <v>14</v>
      </c>
      <c r="V43" s="8">
        <v>143</v>
      </c>
      <c r="W43" s="8">
        <v>62</v>
      </c>
      <c r="X43" s="8">
        <v>25</v>
      </c>
      <c r="Y43" s="8">
        <v>13</v>
      </c>
      <c r="Z43" s="8">
        <v>146</v>
      </c>
      <c r="AA43" s="8">
        <v>66</v>
      </c>
      <c r="AB43" s="8">
        <v>27</v>
      </c>
      <c r="AC43" s="8">
        <v>14</v>
      </c>
      <c r="AD43" s="8">
        <v>134</v>
      </c>
      <c r="AE43" s="8">
        <v>61</v>
      </c>
      <c r="AF43" s="8">
        <v>25</v>
      </c>
      <c r="AG43" s="8">
        <v>12</v>
      </c>
      <c r="AH43" s="8">
        <v>149</v>
      </c>
      <c r="AI43" s="8">
        <v>71</v>
      </c>
      <c r="AJ43" s="8">
        <v>29</v>
      </c>
      <c r="AK43" s="8">
        <v>15</v>
      </c>
      <c r="AL43" s="8">
        <v>177</v>
      </c>
      <c r="AM43" s="8">
        <v>86</v>
      </c>
      <c r="AN43" s="8">
        <v>34</v>
      </c>
      <c r="AO43" s="8">
        <v>17</v>
      </c>
      <c r="AP43" s="8">
        <v>181</v>
      </c>
      <c r="AQ43" s="8">
        <v>88</v>
      </c>
      <c r="AR43" s="8">
        <v>34</v>
      </c>
      <c r="AS43" s="8">
        <v>17</v>
      </c>
      <c r="AT43" s="8">
        <v>165</v>
      </c>
      <c r="AU43" s="8">
        <v>76</v>
      </c>
      <c r="AV43" s="8">
        <v>31</v>
      </c>
      <c r="AW43" s="8">
        <v>16</v>
      </c>
    </row>
    <row r="44" spans="1:49" s="9" customFormat="1" x14ac:dyDescent="0.25">
      <c r="A44" s="7">
        <v>2026</v>
      </c>
      <c r="B44" s="10">
        <v>157</v>
      </c>
      <c r="C44" s="10">
        <v>68</v>
      </c>
      <c r="D44" s="10">
        <v>27</v>
      </c>
      <c r="E44" s="10">
        <v>13</v>
      </c>
      <c r="F44" s="10">
        <v>147</v>
      </c>
      <c r="G44" s="10">
        <v>62</v>
      </c>
      <c r="H44" s="10">
        <v>24</v>
      </c>
      <c r="I44" s="10">
        <v>12</v>
      </c>
      <c r="J44" s="10">
        <v>167</v>
      </c>
      <c r="K44" s="10">
        <v>73</v>
      </c>
      <c r="L44" s="10">
        <v>28</v>
      </c>
      <c r="M44" s="10">
        <v>14</v>
      </c>
      <c r="N44" s="10">
        <v>156</v>
      </c>
      <c r="O44" s="10">
        <v>67</v>
      </c>
      <c r="P44" s="10">
        <v>26</v>
      </c>
      <c r="Q44" s="10">
        <v>13</v>
      </c>
      <c r="R44" s="10">
        <v>152</v>
      </c>
      <c r="S44" s="10">
        <v>64</v>
      </c>
      <c r="T44" s="10">
        <v>24</v>
      </c>
      <c r="U44" s="10">
        <v>12</v>
      </c>
      <c r="V44" s="10">
        <v>123</v>
      </c>
      <c r="W44" s="10">
        <v>50</v>
      </c>
      <c r="X44" s="10">
        <v>18</v>
      </c>
      <c r="Y44" s="10">
        <v>9</v>
      </c>
      <c r="Z44" s="10">
        <v>178</v>
      </c>
      <c r="AA44" s="10">
        <v>79</v>
      </c>
      <c r="AB44" s="10">
        <v>31</v>
      </c>
      <c r="AC44" s="10">
        <v>16</v>
      </c>
      <c r="AD44" s="10">
        <v>169</v>
      </c>
      <c r="AE44" s="10">
        <v>75</v>
      </c>
      <c r="AF44" s="10">
        <v>31</v>
      </c>
      <c r="AG44" s="10">
        <v>15</v>
      </c>
      <c r="AH44" s="10">
        <v>168</v>
      </c>
      <c r="AI44" s="10">
        <v>78</v>
      </c>
      <c r="AJ44" s="10">
        <v>32</v>
      </c>
      <c r="AK44" s="10">
        <v>16</v>
      </c>
      <c r="AL44" s="10">
        <v>156</v>
      </c>
      <c r="AM44" s="10">
        <v>73</v>
      </c>
      <c r="AN44" s="10">
        <v>29</v>
      </c>
      <c r="AO44" s="10">
        <v>14</v>
      </c>
      <c r="AP44" s="10">
        <v>143</v>
      </c>
      <c r="AQ44" s="10">
        <v>67</v>
      </c>
      <c r="AR44" s="10">
        <v>27</v>
      </c>
      <c r="AS44" s="10">
        <v>13</v>
      </c>
      <c r="AT44" s="10">
        <v>137</v>
      </c>
      <c r="AU44" s="10">
        <v>63</v>
      </c>
      <c r="AV44" s="10">
        <v>24</v>
      </c>
      <c r="AW44" s="10">
        <v>12</v>
      </c>
    </row>
  </sheetData>
  <mergeCells count="48">
    <mergeCell ref="A15:AK15"/>
    <mergeCell ref="A1:AK1"/>
    <mergeCell ref="A2:A3"/>
    <mergeCell ref="B2:D2"/>
    <mergeCell ref="E2:G2"/>
    <mergeCell ref="H2:J2"/>
    <mergeCell ref="K2:M2"/>
    <mergeCell ref="N2:P2"/>
    <mergeCell ref="Q2:S2"/>
    <mergeCell ref="T2:V2"/>
    <mergeCell ref="W2:Y2"/>
    <mergeCell ref="Z2:AB2"/>
    <mergeCell ref="AC2:AE2"/>
    <mergeCell ref="AF2:AH2"/>
    <mergeCell ref="AI2:AK2"/>
    <mergeCell ref="AL2:AL3"/>
    <mergeCell ref="AI16:AK16"/>
    <mergeCell ref="AL16:AL17"/>
    <mergeCell ref="A30:AL30"/>
    <mergeCell ref="Q16:S16"/>
    <mergeCell ref="T16:V16"/>
    <mergeCell ref="W16:Y16"/>
    <mergeCell ref="Z16:AB16"/>
    <mergeCell ref="AC16:AE16"/>
    <mergeCell ref="AF16:AH16"/>
    <mergeCell ref="A16:A17"/>
    <mergeCell ref="B16:D16"/>
    <mergeCell ref="E16:G16"/>
    <mergeCell ref="H16:J16"/>
    <mergeCell ref="K16:M16"/>
    <mergeCell ref="N16:P16"/>
    <mergeCell ref="A31:A33"/>
    <mergeCell ref="B32:E32"/>
    <mergeCell ref="F32:I32"/>
    <mergeCell ref="J32:M32"/>
    <mergeCell ref="B31:M31"/>
    <mergeCell ref="AL31:AW31"/>
    <mergeCell ref="AL32:AO32"/>
    <mergeCell ref="AP32:AS32"/>
    <mergeCell ref="AT32:AW32"/>
    <mergeCell ref="N32:Q32"/>
    <mergeCell ref="R32:U32"/>
    <mergeCell ref="V32:Y32"/>
    <mergeCell ref="Z32:AC32"/>
    <mergeCell ref="AD32:AG32"/>
    <mergeCell ref="AH32:AK32"/>
    <mergeCell ref="N31:Y31"/>
    <mergeCell ref="Z31:AK31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29"/>
  <sheetViews>
    <sheetView tabSelected="1" topLeftCell="A2" workbookViewId="0">
      <selection activeCell="AA37" sqref="AA37"/>
    </sheetView>
  </sheetViews>
  <sheetFormatPr defaultRowHeight="15" x14ac:dyDescent="0.25"/>
  <cols>
    <col min="1" max="1" width="11.85546875" customWidth="1"/>
    <col min="2" max="37" width="5" customWidth="1"/>
    <col min="38" max="38" width="11.28515625" customWidth="1"/>
    <col min="39" max="39" width="5" customWidth="1"/>
  </cols>
  <sheetData>
    <row r="1" spans="1:39" x14ac:dyDescent="0.25">
      <c r="A1" s="46" t="s">
        <v>26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</row>
    <row r="2" spans="1:39" x14ac:dyDescent="0.25">
      <c r="A2" s="41" t="s">
        <v>0</v>
      </c>
      <c r="B2" s="38" t="s">
        <v>1</v>
      </c>
      <c r="C2" s="39"/>
      <c r="D2" s="40"/>
      <c r="E2" s="38" t="s">
        <v>2</v>
      </c>
      <c r="F2" s="39"/>
      <c r="G2" s="40"/>
      <c r="H2" s="38" t="s">
        <v>3</v>
      </c>
      <c r="I2" s="39"/>
      <c r="J2" s="40"/>
      <c r="K2" s="38" t="s">
        <v>4</v>
      </c>
      <c r="L2" s="39"/>
      <c r="M2" s="40"/>
      <c r="N2" s="38" t="s">
        <v>5</v>
      </c>
      <c r="O2" s="39"/>
      <c r="P2" s="40"/>
      <c r="Q2" s="38" t="s">
        <v>6</v>
      </c>
      <c r="R2" s="39"/>
      <c r="S2" s="40"/>
      <c r="T2" s="38" t="s">
        <v>7</v>
      </c>
      <c r="U2" s="39"/>
      <c r="V2" s="40"/>
      <c r="W2" s="38" t="s">
        <v>8</v>
      </c>
      <c r="X2" s="39"/>
      <c r="Y2" s="40"/>
      <c r="Z2" s="38" t="s">
        <v>9</v>
      </c>
      <c r="AA2" s="39"/>
      <c r="AB2" s="40"/>
      <c r="AC2" s="38" t="s">
        <v>10</v>
      </c>
      <c r="AD2" s="39"/>
      <c r="AE2" s="40"/>
      <c r="AF2" s="38" t="s">
        <v>11</v>
      </c>
      <c r="AG2" s="39"/>
      <c r="AH2" s="40"/>
      <c r="AI2" s="38" t="s">
        <v>12</v>
      </c>
      <c r="AJ2" s="39"/>
      <c r="AK2" s="40"/>
      <c r="AL2" s="41" t="s">
        <v>13</v>
      </c>
    </row>
    <row r="3" spans="1:39" x14ac:dyDescent="0.25">
      <c r="A3" s="45"/>
      <c r="B3" s="20" t="s">
        <v>14</v>
      </c>
      <c r="C3" s="20" t="s">
        <v>15</v>
      </c>
      <c r="D3" s="20" t="s">
        <v>16</v>
      </c>
      <c r="E3" s="20" t="s">
        <v>14</v>
      </c>
      <c r="F3" s="20" t="s">
        <v>15</v>
      </c>
      <c r="G3" s="20" t="s">
        <v>16</v>
      </c>
      <c r="H3" s="20" t="s">
        <v>14</v>
      </c>
      <c r="I3" s="20" t="s">
        <v>15</v>
      </c>
      <c r="J3" s="20" t="s">
        <v>16</v>
      </c>
      <c r="K3" s="20" t="s">
        <v>14</v>
      </c>
      <c r="L3" s="20" t="s">
        <v>15</v>
      </c>
      <c r="M3" s="20" t="s">
        <v>16</v>
      </c>
      <c r="N3" s="20" t="s">
        <v>14</v>
      </c>
      <c r="O3" s="20" t="s">
        <v>15</v>
      </c>
      <c r="P3" s="20" t="s">
        <v>16</v>
      </c>
      <c r="Q3" s="20" t="s">
        <v>14</v>
      </c>
      <c r="R3" s="20" t="s">
        <v>15</v>
      </c>
      <c r="S3" s="20" t="s">
        <v>16</v>
      </c>
      <c r="T3" s="20" t="s">
        <v>14</v>
      </c>
      <c r="U3" s="20" t="s">
        <v>15</v>
      </c>
      <c r="V3" s="20" t="s">
        <v>16</v>
      </c>
      <c r="W3" s="20" t="s">
        <v>14</v>
      </c>
      <c r="X3" s="20" t="s">
        <v>15</v>
      </c>
      <c r="Y3" s="20" t="s">
        <v>16</v>
      </c>
      <c r="Z3" s="20" t="s">
        <v>14</v>
      </c>
      <c r="AA3" s="20" t="s">
        <v>15</v>
      </c>
      <c r="AB3" s="20" t="s">
        <v>16</v>
      </c>
      <c r="AC3" s="20" t="s">
        <v>14</v>
      </c>
      <c r="AD3" s="20" t="s">
        <v>15</v>
      </c>
      <c r="AE3" s="20" t="s">
        <v>16</v>
      </c>
      <c r="AF3" s="20" t="s">
        <v>14</v>
      </c>
      <c r="AG3" s="20" t="s">
        <v>15</v>
      </c>
      <c r="AH3" s="20" t="s">
        <v>16</v>
      </c>
      <c r="AI3" s="20" t="s">
        <v>14</v>
      </c>
      <c r="AJ3" s="20" t="s">
        <v>15</v>
      </c>
      <c r="AK3" s="20"/>
      <c r="AL3" s="43"/>
      <c r="AM3" s="21"/>
    </row>
    <row r="4" spans="1:39" x14ac:dyDescent="0.25">
      <c r="A4" s="2">
        <v>2016</v>
      </c>
      <c r="B4" s="22">
        <v>0.4</v>
      </c>
      <c r="C4" s="22">
        <v>3.1</v>
      </c>
      <c r="D4" s="22">
        <v>0</v>
      </c>
      <c r="E4" s="22">
        <v>7.9</v>
      </c>
      <c r="F4" s="22">
        <v>2</v>
      </c>
      <c r="G4" s="22">
        <v>9</v>
      </c>
      <c r="H4" s="22">
        <v>9</v>
      </c>
      <c r="I4" s="22">
        <v>8.5</v>
      </c>
      <c r="J4" s="22">
        <v>10</v>
      </c>
      <c r="K4" s="22">
        <v>9.1999999999999993</v>
      </c>
      <c r="L4" s="22">
        <v>2.5</v>
      </c>
      <c r="M4" s="22">
        <v>4.9000000000000004</v>
      </c>
      <c r="N4" s="22" t="s">
        <v>17</v>
      </c>
      <c r="O4" s="22">
        <v>3.4</v>
      </c>
      <c r="P4" s="22">
        <v>22.7</v>
      </c>
      <c r="Q4" s="22">
        <v>14.8</v>
      </c>
      <c r="R4" s="22">
        <v>39.299999999999997</v>
      </c>
      <c r="S4" s="22">
        <v>16.399999999999999</v>
      </c>
      <c r="T4" s="22">
        <v>26.7</v>
      </c>
      <c r="U4" s="22">
        <v>30.5</v>
      </c>
      <c r="V4" s="22">
        <v>81.099999999999994</v>
      </c>
      <c r="W4" s="22">
        <v>0.3</v>
      </c>
      <c r="X4" s="22">
        <v>2</v>
      </c>
      <c r="Y4" s="22">
        <v>2</v>
      </c>
      <c r="Z4" s="22">
        <v>5.3</v>
      </c>
      <c r="AA4" s="22">
        <v>10.8</v>
      </c>
      <c r="AB4" s="22">
        <v>15.9</v>
      </c>
      <c r="AC4" s="22">
        <v>21.4</v>
      </c>
      <c r="AD4" s="22">
        <v>6.8</v>
      </c>
      <c r="AE4" s="22">
        <v>2</v>
      </c>
      <c r="AF4" s="22">
        <v>14.3</v>
      </c>
      <c r="AG4" s="22">
        <v>1.3</v>
      </c>
      <c r="AH4" s="22">
        <v>5.2</v>
      </c>
      <c r="AI4" s="22">
        <v>7.3</v>
      </c>
      <c r="AJ4" s="22">
        <v>23.6</v>
      </c>
      <c r="AK4" s="22">
        <v>5.5</v>
      </c>
      <c r="AL4" s="3">
        <f t="shared" ref="AL4:AL10" si="0">SUM(B4:AK4)</f>
        <v>425.1</v>
      </c>
      <c r="AM4" s="23"/>
    </row>
    <row r="5" spans="1:39" x14ac:dyDescent="0.25">
      <c r="A5" s="2">
        <v>2017</v>
      </c>
      <c r="B5" s="22">
        <v>8.6999999999999993</v>
      </c>
      <c r="C5" s="22">
        <v>1.5</v>
      </c>
      <c r="D5" s="22">
        <v>7.7</v>
      </c>
      <c r="E5" s="22">
        <v>8.6</v>
      </c>
      <c r="F5" s="22">
        <v>6.1</v>
      </c>
      <c r="G5" s="22">
        <v>4.4000000000000004</v>
      </c>
      <c r="H5" s="22">
        <v>2.8</v>
      </c>
      <c r="I5" s="22" t="s">
        <v>17</v>
      </c>
      <c r="J5" s="22">
        <v>1</v>
      </c>
      <c r="K5" s="22">
        <v>3.3</v>
      </c>
      <c r="L5" s="22">
        <v>9.1999999999999993</v>
      </c>
      <c r="M5" s="22">
        <v>1.6</v>
      </c>
      <c r="N5" s="22">
        <v>2.2999999999999998</v>
      </c>
      <c r="O5" s="22">
        <v>10.8</v>
      </c>
      <c r="P5" s="22">
        <v>7.4</v>
      </c>
      <c r="Q5" s="22">
        <v>16.3</v>
      </c>
      <c r="R5" s="22">
        <v>6</v>
      </c>
      <c r="S5" s="22">
        <v>1.1000000000000001</v>
      </c>
      <c r="T5" s="22">
        <v>2.2999999999999998</v>
      </c>
      <c r="U5" s="22">
        <v>24.6</v>
      </c>
      <c r="V5" s="22">
        <v>25</v>
      </c>
      <c r="W5" s="22">
        <v>3.1</v>
      </c>
      <c r="X5" s="22" t="s">
        <v>17</v>
      </c>
      <c r="Y5" s="22">
        <v>5.3</v>
      </c>
      <c r="Z5" s="22">
        <v>5</v>
      </c>
      <c r="AA5" s="22">
        <v>6.6</v>
      </c>
      <c r="AB5" s="22">
        <v>1.2</v>
      </c>
      <c r="AC5" s="22">
        <v>9.6</v>
      </c>
      <c r="AD5" s="22">
        <v>8.5</v>
      </c>
      <c r="AE5" s="22">
        <v>19.100000000000001</v>
      </c>
      <c r="AF5" s="22">
        <v>27.5</v>
      </c>
      <c r="AG5" s="22">
        <v>6.4</v>
      </c>
      <c r="AH5" s="22" t="s">
        <v>17</v>
      </c>
      <c r="AI5" s="22">
        <v>14.3</v>
      </c>
      <c r="AJ5" s="22">
        <v>3.1</v>
      </c>
      <c r="AK5" s="22">
        <v>8.6</v>
      </c>
      <c r="AL5" s="24">
        <f t="shared" si="0"/>
        <v>269</v>
      </c>
      <c r="AM5" s="23"/>
    </row>
    <row r="6" spans="1:39" x14ac:dyDescent="0.25">
      <c r="A6" s="2">
        <v>2018</v>
      </c>
      <c r="B6" s="22">
        <v>1.1000000000000001</v>
      </c>
      <c r="C6" s="22">
        <v>13.4</v>
      </c>
      <c r="D6" s="22" t="s">
        <v>17</v>
      </c>
      <c r="E6" s="22">
        <v>1.1000000000000001</v>
      </c>
      <c r="F6" s="22">
        <v>4.9000000000000004</v>
      </c>
      <c r="G6" s="22">
        <v>3.7</v>
      </c>
      <c r="H6" s="22">
        <v>5.4</v>
      </c>
      <c r="I6" s="22">
        <v>0.6</v>
      </c>
      <c r="J6" s="22">
        <v>9.1999999999999993</v>
      </c>
      <c r="K6" s="25">
        <v>3.7</v>
      </c>
      <c r="L6" s="25">
        <v>0.3</v>
      </c>
      <c r="M6" s="25">
        <v>13.7</v>
      </c>
      <c r="N6" s="25">
        <v>16</v>
      </c>
      <c r="O6" s="25">
        <v>0.1</v>
      </c>
      <c r="P6" s="25">
        <v>27.9</v>
      </c>
      <c r="Q6" s="25">
        <v>1.8</v>
      </c>
      <c r="R6" s="25">
        <v>1.2</v>
      </c>
      <c r="S6" s="25">
        <v>20.399999999999999</v>
      </c>
      <c r="T6" s="25">
        <v>0.2</v>
      </c>
      <c r="U6" s="25">
        <v>5.9</v>
      </c>
      <c r="V6" s="25">
        <v>22.4</v>
      </c>
      <c r="W6" s="25">
        <v>13.7</v>
      </c>
      <c r="X6" s="25">
        <v>17.5</v>
      </c>
      <c r="Y6" s="25">
        <v>62.9</v>
      </c>
      <c r="Z6" s="25">
        <v>2.2000000000000002</v>
      </c>
      <c r="AA6" s="25">
        <v>0</v>
      </c>
      <c r="AB6" s="25">
        <v>10.5</v>
      </c>
      <c r="AC6" s="25" t="s">
        <v>17</v>
      </c>
      <c r="AD6" s="25">
        <v>6.1</v>
      </c>
      <c r="AE6" s="25">
        <v>23</v>
      </c>
      <c r="AF6" s="25">
        <v>5.4</v>
      </c>
      <c r="AG6" s="25">
        <v>5.3</v>
      </c>
      <c r="AH6" s="25">
        <v>333.1</v>
      </c>
      <c r="AI6" s="25">
        <v>4.5999999999999996</v>
      </c>
      <c r="AJ6" s="25">
        <v>1.4</v>
      </c>
      <c r="AK6" s="25">
        <v>6.5</v>
      </c>
      <c r="AL6" s="24">
        <f t="shared" si="0"/>
        <v>645.20000000000005</v>
      </c>
      <c r="AM6" s="23"/>
    </row>
    <row r="7" spans="1:39" x14ac:dyDescent="0.25">
      <c r="A7" s="2">
        <v>2019</v>
      </c>
      <c r="B7" s="22">
        <v>3.7</v>
      </c>
      <c r="C7" s="22">
        <v>0</v>
      </c>
      <c r="D7" s="22">
        <v>14.8</v>
      </c>
      <c r="E7" s="22">
        <v>14.9</v>
      </c>
      <c r="F7" s="22">
        <v>7.5</v>
      </c>
      <c r="G7" s="22">
        <v>1.8</v>
      </c>
      <c r="H7" s="22">
        <v>4.8</v>
      </c>
      <c r="I7" s="22">
        <v>0.7</v>
      </c>
      <c r="J7" s="22">
        <v>17.5</v>
      </c>
      <c r="K7" s="22">
        <v>11.2</v>
      </c>
      <c r="L7" s="22">
        <v>4.5999999999999996</v>
      </c>
      <c r="M7" s="22">
        <v>9.6999999999999993</v>
      </c>
      <c r="N7" s="22">
        <v>0</v>
      </c>
      <c r="O7" s="22">
        <v>12.6</v>
      </c>
      <c r="P7" s="22">
        <v>2.5</v>
      </c>
      <c r="Q7" s="22">
        <v>37.700000000000003</v>
      </c>
      <c r="R7" s="22">
        <v>5.2</v>
      </c>
      <c r="S7" s="22">
        <v>22</v>
      </c>
      <c r="T7" s="22">
        <v>8.9</v>
      </c>
      <c r="U7" s="22">
        <v>0</v>
      </c>
      <c r="V7" s="22">
        <v>47.8</v>
      </c>
      <c r="W7" s="22">
        <v>0</v>
      </c>
      <c r="X7" s="22">
        <v>2.7</v>
      </c>
      <c r="Y7" s="22">
        <v>6.5</v>
      </c>
      <c r="Z7" s="22">
        <v>26.4</v>
      </c>
      <c r="AA7" s="22">
        <v>1.4</v>
      </c>
      <c r="AB7" s="22">
        <v>4.8</v>
      </c>
      <c r="AC7" s="22">
        <v>0</v>
      </c>
      <c r="AD7" s="22">
        <v>11.5</v>
      </c>
      <c r="AE7" s="22">
        <v>4.8</v>
      </c>
      <c r="AF7" s="22">
        <v>7.1</v>
      </c>
      <c r="AG7" s="22">
        <v>2.4</v>
      </c>
      <c r="AH7" s="22">
        <v>0.3</v>
      </c>
      <c r="AI7" s="22">
        <v>10.3</v>
      </c>
      <c r="AJ7" s="22">
        <v>3.4</v>
      </c>
      <c r="AK7" s="22">
        <v>17.3</v>
      </c>
      <c r="AL7" s="24">
        <f t="shared" si="0"/>
        <v>326.79999999999995</v>
      </c>
      <c r="AM7" s="23"/>
    </row>
    <row r="8" spans="1:39" x14ac:dyDescent="0.25">
      <c r="A8" s="2">
        <v>2020</v>
      </c>
      <c r="B8" s="22">
        <v>12.2</v>
      </c>
      <c r="C8" s="22">
        <v>16.899999999999999</v>
      </c>
      <c r="D8" s="22">
        <v>17.100000000000001</v>
      </c>
      <c r="E8" s="22">
        <v>11</v>
      </c>
      <c r="F8" s="22">
        <v>18.100000000000001</v>
      </c>
      <c r="G8" s="22">
        <v>21.2</v>
      </c>
      <c r="H8" s="22">
        <v>1.4</v>
      </c>
      <c r="I8" s="22">
        <v>0.4</v>
      </c>
      <c r="J8" s="22">
        <v>1.6</v>
      </c>
      <c r="K8" s="22">
        <v>0.8</v>
      </c>
      <c r="L8" s="22">
        <v>4.9000000000000004</v>
      </c>
      <c r="M8" s="22">
        <v>29</v>
      </c>
      <c r="N8" s="22">
        <v>1.9</v>
      </c>
      <c r="O8" s="22">
        <v>8.5</v>
      </c>
      <c r="P8" s="22">
        <v>6.3</v>
      </c>
      <c r="Q8" s="22">
        <v>0</v>
      </c>
      <c r="R8" s="22">
        <v>4.4000000000000004</v>
      </c>
      <c r="S8" s="22">
        <v>40.700000000000003</v>
      </c>
      <c r="T8" s="22">
        <v>0.3</v>
      </c>
      <c r="U8" s="22">
        <v>0</v>
      </c>
      <c r="V8" s="22">
        <v>2.7</v>
      </c>
      <c r="W8" s="22">
        <v>1.7</v>
      </c>
      <c r="X8" s="22">
        <v>52.6</v>
      </c>
      <c r="Y8" s="22">
        <v>2.9</v>
      </c>
      <c r="Z8" s="22">
        <v>4.5999999999999996</v>
      </c>
      <c r="AA8" s="22">
        <v>2.4</v>
      </c>
      <c r="AB8" s="22">
        <v>8.6</v>
      </c>
      <c r="AC8" s="22">
        <v>5.0999999999999996</v>
      </c>
      <c r="AD8" s="22">
        <v>0.4</v>
      </c>
      <c r="AE8" s="22">
        <v>8.5</v>
      </c>
      <c r="AF8" s="22">
        <v>2.6</v>
      </c>
      <c r="AG8" s="22">
        <v>4.8</v>
      </c>
      <c r="AH8" s="22">
        <v>1.2</v>
      </c>
      <c r="AI8" s="22">
        <v>1</v>
      </c>
      <c r="AJ8" s="22">
        <v>2</v>
      </c>
      <c r="AK8" s="22">
        <v>1.8</v>
      </c>
      <c r="AL8" s="3">
        <f t="shared" si="0"/>
        <v>299.60000000000008</v>
      </c>
      <c r="AM8" s="23"/>
    </row>
    <row r="9" spans="1:39" x14ac:dyDescent="0.25">
      <c r="A9" s="2">
        <v>2021</v>
      </c>
      <c r="B9" s="22">
        <v>5.8</v>
      </c>
      <c r="C9" s="22">
        <v>21.3</v>
      </c>
      <c r="D9" s="22">
        <v>5.4</v>
      </c>
      <c r="E9" s="22">
        <v>14.5</v>
      </c>
      <c r="F9" s="22">
        <v>9.6999999999999993</v>
      </c>
      <c r="G9" s="22">
        <v>6.7</v>
      </c>
      <c r="H9" s="22">
        <v>38.700000000000003</v>
      </c>
      <c r="I9" s="22">
        <v>3.9</v>
      </c>
      <c r="J9" s="22">
        <v>1.3</v>
      </c>
      <c r="K9" s="22">
        <v>1.4</v>
      </c>
      <c r="L9" s="22">
        <v>0</v>
      </c>
      <c r="M9" s="22">
        <v>4.8</v>
      </c>
      <c r="N9" s="22">
        <v>3.4</v>
      </c>
      <c r="O9" s="22">
        <v>4.8</v>
      </c>
      <c r="P9" s="22">
        <v>0.5</v>
      </c>
      <c r="Q9" s="22">
        <v>4.5999999999999996</v>
      </c>
      <c r="R9" s="22">
        <v>15.5</v>
      </c>
      <c r="S9" s="22">
        <v>7.4</v>
      </c>
      <c r="T9" s="22">
        <v>15.6</v>
      </c>
      <c r="U9" s="22">
        <v>23.8</v>
      </c>
      <c r="V9" s="22">
        <v>0</v>
      </c>
      <c r="W9" s="22">
        <v>12.1</v>
      </c>
      <c r="X9" s="22">
        <v>18.100000000000001</v>
      </c>
      <c r="Y9" s="22">
        <v>2.1</v>
      </c>
      <c r="Z9" s="22">
        <v>7.5</v>
      </c>
      <c r="AA9" s="22">
        <v>4.0999999999999996</v>
      </c>
      <c r="AB9" s="22">
        <v>1.4</v>
      </c>
      <c r="AC9" s="22">
        <v>2</v>
      </c>
      <c r="AD9" s="22">
        <v>1.7</v>
      </c>
      <c r="AE9" s="22">
        <v>0.9</v>
      </c>
      <c r="AF9" s="22">
        <v>4.0999999999999996</v>
      </c>
      <c r="AG9" s="22">
        <v>6.2</v>
      </c>
      <c r="AH9" s="22">
        <v>4.8</v>
      </c>
      <c r="AI9" s="22" t="s">
        <v>17</v>
      </c>
      <c r="AJ9" s="22">
        <v>4.8</v>
      </c>
      <c r="AK9" s="22">
        <v>13.4</v>
      </c>
      <c r="AL9" s="3">
        <f t="shared" si="0"/>
        <v>272.29999999999995</v>
      </c>
      <c r="AM9" s="26"/>
    </row>
    <row r="10" spans="1:39" x14ac:dyDescent="0.25">
      <c r="A10" s="2">
        <v>2022</v>
      </c>
      <c r="B10" s="3">
        <v>12.5</v>
      </c>
      <c r="C10" s="27">
        <v>22.9</v>
      </c>
      <c r="D10" s="27">
        <v>1.7</v>
      </c>
      <c r="E10" s="27">
        <v>5</v>
      </c>
      <c r="F10" s="27">
        <v>15</v>
      </c>
      <c r="G10" s="27">
        <v>0.7</v>
      </c>
      <c r="H10" s="27">
        <v>6.4</v>
      </c>
      <c r="I10" s="27" t="s">
        <v>17</v>
      </c>
      <c r="J10" s="27">
        <v>8.4</v>
      </c>
      <c r="K10" s="27">
        <v>0</v>
      </c>
      <c r="L10" s="27">
        <v>1.7</v>
      </c>
      <c r="M10" s="27">
        <v>7.7</v>
      </c>
      <c r="N10" s="27">
        <v>0</v>
      </c>
      <c r="O10" s="27">
        <v>1.1000000000000001</v>
      </c>
      <c r="P10" s="27">
        <v>7.3</v>
      </c>
      <c r="Q10" s="27">
        <v>0</v>
      </c>
      <c r="R10" s="3">
        <v>9.1</v>
      </c>
      <c r="S10" s="3">
        <v>12.3</v>
      </c>
      <c r="T10" s="3">
        <v>22.1</v>
      </c>
      <c r="U10" s="3">
        <v>7.3</v>
      </c>
      <c r="V10" s="3">
        <v>16.100000000000001</v>
      </c>
      <c r="W10" s="3">
        <v>15.1</v>
      </c>
      <c r="X10" s="3">
        <v>6.1</v>
      </c>
      <c r="Y10" s="3">
        <v>0.9</v>
      </c>
      <c r="Z10" s="3">
        <v>1.3</v>
      </c>
      <c r="AA10" s="3">
        <v>7</v>
      </c>
      <c r="AB10" s="3">
        <v>10.1</v>
      </c>
      <c r="AC10" s="3">
        <v>10.4</v>
      </c>
      <c r="AD10" s="3">
        <v>1.5</v>
      </c>
      <c r="AE10" s="3">
        <v>14.9</v>
      </c>
      <c r="AF10" s="3">
        <v>7.3</v>
      </c>
      <c r="AG10" s="3">
        <v>26.9</v>
      </c>
      <c r="AH10" s="3">
        <v>1.5</v>
      </c>
      <c r="AI10" s="3">
        <v>0</v>
      </c>
      <c r="AJ10" s="3">
        <v>7.5</v>
      </c>
      <c r="AK10" s="3">
        <v>9.1</v>
      </c>
      <c r="AL10" s="3">
        <f t="shared" si="0"/>
        <v>276.90000000000003</v>
      </c>
      <c r="AM10" s="26"/>
    </row>
    <row r="11" spans="1:39" x14ac:dyDescent="0.25">
      <c r="A11" s="2">
        <v>2023</v>
      </c>
      <c r="B11" s="28">
        <v>20.2</v>
      </c>
      <c r="C11" s="29">
        <v>4.7</v>
      </c>
      <c r="D11" s="30">
        <v>0.8</v>
      </c>
      <c r="E11" s="29">
        <v>2.7</v>
      </c>
      <c r="F11" s="29">
        <v>6.4</v>
      </c>
      <c r="G11" s="29">
        <v>5.8</v>
      </c>
      <c r="H11" s="29">
        <v>23.8</v>
      </c>
      <c r="I11" s="29">
        <v>24.5</v>
      </c>
      <c r="J11" s="29">
        <v>0</v>
      </c>
      <c r="K11" s="3" t="s">
        <v>17</v>
      </c>
      <c r="L11" s="3" t="s">
        <v>17</v>
      </c>
      <c r="M11" s="29">
        <v>1.4</v>
      </c>
      <c r="N11" s="29">
        <v>4.2</v>
      </c>
      <c r="O11" s="31">
        <v>0.3</v>
      </c>
      <c r="P11" s="32">
        <v>0</v>
      </c>
      <c r="Q11" s="32">
        <v>11.4</v>
      </c>
      <c r="R11" s="24">
        <v>17.600000000000001</v>
      </c>
      <c r="S11" s="3">
        <v>11.8</v>
      </c>
      <c r="T11" s="3">
        <v>11.3</v>
      </c>
      <c r="U11" s="3">
        <v>10.6</v>
      </c>
      <c r="V11" s="3">
        <v>0.8</v>
      </c>
      <c r="W11" s="3">
        <v>23.7</v>
      </c>
      <c r="X11" s="3">
        <v>7</v>
      </c>
      <c r="Y11" s="3">
        <v>14.9</v>
      </c>
      <c r="Z11" s="3">
        <v>27.5</v>
      </c>
      <c r="AA11" s="3">
        <v>4.5</v>
      </c>
      <c r="AB11" s="3">
        <v>5.0999999999999996</v>
      </c>
      <c r="AC11" s="3">
        <v>0</v>
      </c>
      <c r="AD11" s="3">
        <v>4.2</v>
      </c>
      <c r="AE11" s="3">
        <v>32</v>
      </c>
      <c r="AF11" s="3">
        <v>5.7</v>
      </c>
      <c r="AG11" s="3">
        <v>23.8</v>
      </c>
      <c r="AH11" s="3">
        <v>9.6999999999999993</v>
      </c>
      <c r="AI11" s="3">
        <v>27.1</v>
      </c>
      <c r="AJ11" s="3">
        <v>9.8000000000000007</v>
      </c>
      <c r="AK11" s="3">
        <v>16.899999999999999</v>
      </c>
      <c r="AL11" s="3">
        <f>SUM(B11:AK11)</f>
        <v>370.20000000000005</v>
      </c>
      <c r="AM11" s="26"/>
    </row>
    <row r="12" spans="1:39" x14ac:dyDescent="0.25">
      <c r="A12" s="2">
        <v>2024</v>
      </c>
      <c r="B12" s="3">
        <v>37.200000000000003</v>
      </c>
      <c r="C12" s="33">
        <v>35.799999999999997</v>
      </c>
      <c r="D12" s="33">
        <v>6.9</v>
      </c>
      <c r="E12" s="33">
        <v>21.4</v>
      </c>
      <c r="F12" s="33">
        <v>1.5</v>
      </c>
      <c r="G12" s="33">
        <v>0</v>
      </c>
      <c r="H12" s="33">
        <v>10.3</v>
      </c>
      <c r="I12" s="33" t="s">
        <v>17</v>
      </c>
      <c r="J12" s="33">
        <v>1.5</v>
      </c>
      <c r="K12" s="33">
        <v>0.9</v>
      </c>
      <c r="L12" s="33">
        <v>15.2</v>
      </c>
      <c r="M12" s="33">
        <v>0</v>
      </c>
      <c r="N12" s="33">
        <v>16.7</v>
      </c>
      <c r="O12" s="33">
        <v>15.2</v>
      </c>
      <c r="P12" s="33">
        <v>7.6</v>
      </c>
      <c r="Q12" s="33">
        <v>18.399999999999999</v>
      </c>
      <c r="R12" s="3">
        <v>17.39</v>
      </c>
      <c r="S12" s="3">
        <v>14.4</v>
      </c>
      <c r="T12" s="3">
        <v>63.6</v>
      </c>
      <c r="U12" s="3">
        <v>31.3</v>
      </c>
      <c r="V12" s="3">
        <v>10.1</v>
      </c>
      <c r="W12" s="3">
        <v>33.9</v>
      </c>
      <c r="X12" s="3">
        <v>15.6</v>
      </c>
      <c r="Y12" s="3">
        <v>12.4</v>
      </c>
      <c r="Z12" s="3">
        <v>26.8</v>
      </c>
      <c r="AA12" s="3">
        <v>1.3</v>
      </c>
      <c r="AB12" s="3">
        <v>0.7</v>
      </c>
      <c r="AC12" s="3">
        <v>0</v>
      </c>
      <c r="AD12" s="3">
        <v>6.8</v>
      </c>
      <c r="AE12" s="3">
        <v>29.2</v>
      </c>
      <c r="AF12" s="3">
        <v>21.9</v>
      </c>
      <c r="AG12" s="3">
        <v>5.4</v>
      </c>
      <c r="AH12" s="3">
        <v>4.3</v>
      </c>
      <c r="AI12" s="3">
        <v>1.4</v>
      </c>
      <c r="AJ12" s="3">
        <v>9.6999999999999993</v>
      </c>
      <c r="AK12" s="3">
        <v>6.7</v>
      </c>
      <c r="AL12" s="3">
        <f>SUM(B12:AK12)</f>
        <v>501.48999999999995</v>
      </c>
    </row>
    <row r="13" spans="1:39" x14ac:dyDescent="0.25">
      <c r="A13" s="2">
        <v>2025</v>
      </c>
      <c r="B13" s="35">
        <v>18.5</v>
      </c>
      <c r="C13" s="35">
        <v>0.8</v>
      </c>
      <c r="D13" s="35">
        <v>12.6</v>
      </c>
      <c r="E13" s="35">
        <v>0</v>
      </c>
      <c r="F13" s="35">
        <v>0.4</v>
      </c>
      <c r="G13" s="35">
        <v>2.6</v>
      </c>
      <c r="H13" s="35">
        <v>3.3</v>
      </c>
      <c r="I13" s="35">
        <v>0.9</v>
      </c>
      <c r="J13" s="35">
        <v>11.6</v>
      </c>
      <c r="K13" s="35">
        <v>13.2</v>
      </c>
      <c r="L13" s="35">
        <v>1.2</v>
      </c>
      <c r="M13" s="35">
        <v>10.4</v>
      </c>
      <c r="N13" s="35">
        <v>3.2</v>
      </c>
      <c r="O13" s="35">
        <v>5.7</v>
      </c>
      <c r="P13" s="35">
        <v>2.2999999999999998</v>
      </c>
      <c r="Q13" s="35">
        <v>10.4</v>
      </c>
      <c r="R13" s="35">
        <v>5.0999999999999996</v>
      </c>
      <c r="S13" s="35">
        <v>13.3</v>
      </c>
      <c r="T13" s="35">
        <v>10.1</v>
      </c>
      <c r="U13" s="35">
        <v>21.9</v>
      </c>
      <c r="V13" s="35">
        <v>11.3</v>
      </c>
      <c r="W13" s="35">
        <v>23.3</v>
      </c>
      <c r="X13" s="35">
        <v>18.8</v>
      </c>
      <c r="Y13" s="35">
        <v>9.4</v>
      </c>
      <c r="Z13" s="35">
        <v>11.8</v>
      </c>
      <c r="AA13" s="35">
        <v>0.8</v>
      </c>
      <c r="AB13" s="35">
        <v>13.9</v>
      </c>
      <c r="AC13" s="35">
        <v>4.9000000000000004</v>
      </c>
      <c r="AD13" s="35">
        <v>1.3</v>
      </c>
      <c r="AE13" s="35">
        <v>0</v>
      </c>
      <c r="AF13" s="35">
        <v>34.1</v>
      </c>
      <c r="AG13" s="35">
        <v>8.4</v>
      </c>
      <c r="AH13" s="35">
        <v>4.5999999999999996</v>
      </c>
      <c r="AI13" s="35">
        <v>4.5</v>
      </c>
      <c r="AJ13" s="35">
        <v>11.3</v>
      </c>
      <c r="AK13" s="35">
        <v>1.3</v>
      </c>
      <c r="AL13" s="3">
        <f>SUM(B13:AK13)</f>
        <v>307.2000000000001</v>
      </c>
    </row>
    <row r="14" spans="1:39" x14ac:dyDescent="0.25">
      <c r="A14" s="2">
        <v>2026</v>
      </c>
      <c r="B14" s="35">
        <v>22.6</v>
      </c>
      <c r="C14" s="35">
        <v>3.3</v>
      </c>
      <c r="D14" s="35">
        <v>0.6</v>
      </c>
      <c r="E14" s="35">
        <v>6.3</v>
      </c>
      <c r="F14" s="35">
        <v>6.7</v>
      </c>
      <c r="G14" s="35">
        <v>4.2</v>
      </c>
      <c r="H14" s="35">
        <v>9.1999999999999993</v>
      </c>
      <c r="I14" s="35">
        <v>5.3</v>
      </c>
      <c r="J14" s="35" t="s">
        <v>17</v>
      </c>
      <c r="K14" s="35">
        <v>6</v>
      </c>
      <c r="L14" s="35">
        <v>0</v>
      </c>
      <c r="M14" s="35">
        <v>9.6</v>
      </c>
      <c r="N14" s="35">
        <v>4.9000000000000004</v>
      </c>
      <c r="O14" s="35">
        <v>0.5</v>
      </c>
      <c r="P14" s="35">
        <v>18.3</v>
      </c>
      <c r="Q14" s="35">
        <v>14.9</v>
      </c>
      <c r="R14" s="35">
        <v>9.9</v>
      </c>
      <c r="S14" s="35">
        <v>4.9000000000000004</v>
      </c>
      <c r="T14" s="35">
        <v>28.4</v>
      </c>
      <c r="U14" s="35">
        <v>10</v>
      </c>
      <c r="V14" s="35">
        <v>9.5</v>
      </c>
      <c r="W14" s="35">
        <v>11.6</v>
      </c>
      <c r="X14" s="35">
        <v>3.8</v>
      </c>
      <c r="Y14" s="35">
        <v>1.3</v>
      </c>
      <c r="Z14" s="35">
        <v>0.6</v>
      </c>
      <c r="AA14" s="35">
        <v>9.5</v>
      </c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</row>
    <row r="16" spans="1:39" x14ac:dyDescent="0.25">
      <c r="A16" s="46" t="s">
        <v>27</v>
      </c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AH16" s="46"/>
      <c r="AI16" s="46"/>
      <c r="AJ16" s="46"/>
      <c r="AK16" s="46"/>
    </row>
    <row r="17" spans="1:38" x14ac:dyDescent="0.25">
      <c r="A17" s="41" t="s">
        <v>0</v>
      </c>
      <c r="B17" s="38" t="s">
        <v>1</v>
      </c>
      <c r="C17" s="39"/>
      <c r="D17" s="40"/>
      <c r="E17" s="38" t="s">
        <v>2</v>
      </c>
      <c r="F17" s="39"/>
      <c r="G17" s="40"/>
      <c r="H17" s="38" t="s">
        <v>3</v>
      </c>
      <c r="I17" s="39"/>
      <c r="J17" s="40"/>
      <c r="K17" s="38" t="s">
        <v>4</v>
      </c>
      <c r="L17" s="39"/>
      <c r="M17" s="40"/>
      <c r="N17" s="38" t="s">
        <v>5</v>
      </c>
      <c r="O17" s="39"/>
      <c r="P17" s="40"/>
      <c r="Q17" s="38" t="s">
        <v>6</v>
      </c>
      <c r="R17" s="39"/>
      <c r="S17" s="40"/>
      <c r="T17" s="38" t="s">
        <v>7</v>
      </c>
      <c r="U17" s="39"/>
      <c r="V17" s="40"/>
      <c r="W17" s="38" t="s">
        <v>8</v>
      </c>
      <c r="X17" s="39"/>
      <c r="Y17" s="40"/>
      <c r="Z17" s="38" t="s">
        <v>9</v>
      </c>
      <c r="AA17" s="39"/>
      <c r="AB17" s="40"/>
      <c r="AC17" s="38" t="s">
        <v>10</v>
      </c>
      <c r="AD17" s="39"/>
      <c r="AE17" s="40"/>
      <c r="AF17" s="38" t="s">
        <v>11</v>
      </c>
      <c r="AG17" s="39"/>
      <c r="AH17" s="40"/>
      <c r="AI17" s="38" t="s">
        <v>12</v>
      </c>
      <c r="AJ17" s="39"/>
      <c r="AK17" s="40"/>
      <c r="AL17" s="41" t="s">
        <v>18</v>
      </c>
    </row>
    <row r="18" spans="1:38" x14ac:dyDescent="0.25">
      <c r="A18" s="45"/>
      <c r="B18" s="20" t="s">
        <v>14</v>
      </c>
      <c r="C18" s="20" t="s">
        <v>15</v>
      </c>
      <c r="D18" s="20" t="s">
        <v>16</v>
      </c>
      <c r="E18" s="20" t="s">
        <v>14</v>
      </c>
      <c r="F18" s="20" t="s">
        <v>15</v>
      </c>
      <c r="G18" s="20" t="s">
        <v>16</v>
      </c>
      <c r="H18" s="20" t="s">
        <v>14</v>
      </c>
      <c r="I18" s="20" t="s">
        <v>15</v>
      </c>
      <c r="J18" s="20" t="s">
        <v>16</v>
      </c>
      <c r="K18" s="20" t="s">
        <v>14</v>
      </c>
      <c r="L18" s="20" t="s">
        <v>15</v>
      </c>
      <c r="M18" s="20" t="s">
        <v>16</v>
      </c>
      <c r="N18" s="20" t="s">
        <v>14</v>
      </c>
      <c r="O18" s="20" t="s">
        <v>15</v>
      </c>
      <c r="P18" s="20" t="s">
        <v>16</v>
      </c>
      <c r="Q18" s="20" t="s">
        <v>14</v>
      </c>
      <c r="R18" s="20" t="s">
        <v>15</v>
      </c>
      <c r="S18" s="20" t="s">
        <v>16</v>
      </c>
      <c r="T18" s="20" t="s">
        <v>14</v>
      </c>
      <c r="U18" s="20" t="s">
        <v>15</v>
      </c>
      <c r="V18" s="20" t="s">
        <v>16</v>
      </c>
      <c r="W18" s="20" t="s">
        <v>14</v>
      </c>
      <c r="X18" s="20" t="s">
        <v>15</v>
      </c>
      <c r="Y18" s="20" t="s">
        <v>16</v>
      </c>
      <c r="Z18" s="20" t="s">
        <v>14</v>
      </c>
      <c r="AA18" s="20" t="s">
        <v>15</v>
      </c>
      <c r="AB18" s="20" t="s">
        <v>16</v>
      </c>
      <c r="AC18" s="20" t="s">
        <v>14</v>
      </c>
      <c r="AD18" s="20" t="s">
        <v>15</v>
      </c>
      <c r="AE18" s="20" t="s">
        <v>16</v>
      </c>
      <c r="AF18" s="20" t="s">
        <v>14</v>
      </c>
      <c r="AG18" s="20" t="s">
        <v>15</v>
      </c>
      <c r="AH18" s="20" t="s">
        <v>16</v>
      </c>
      <c r="AI18" s="20" t="s">
        <v>14</v>
      </c>
      <c r="AJ18" s="20" t="s">
        <v>15</v>
      </c>
      <c r="AK18" s="20" t="s">
        <v>16</v>
      </c>
      <c r="AL18" s="43"/>
    </row>
    <row r="19" spans="1:38" x14ac:dyDescent="0.25">
      <c r="A19" s="2">
        <v>2016</v>
      </c>
      <c r="B19" s="22">
        <v>-26.6</v>
      </c>
      <c r="C19" s="22">
        <v>-20.6</v>
      </c>
      <c r="D19" s="22">
        <v>-21.3</v>
      </c>
      <c r="E19" s="22">
        <v>-9.1999999999999993</v>
      </c>
      <c r="F19" s="22">
        <v>-12.5</v>
      </c>
      <c r="G19" s="22">
        <v>-7</v>
      </c>
      <c r="H19" s="22">
        <v>-8.3000000000000007</v>
      </c>
      <c r="I19" s="22">
        <v>-4.8</v>
      </c>
      <c r="J19" s="22">
        <v>0.4</v>
      </c>
      <c r="K19" s="22">
        <v>3.7</v>
      </c>
      <c r="L19" s="22">
        <v>10.199999999999999</v>
      </c>
      <c r="M19" s="22">
        <v>9.5</v>
      </c>
      <c r="N19" s="22">
        <v>8.6</v>
      </c>
      <c r="O19" s="22">
        <v>12.4</v>
      </c>
      <c r="P19" s="22">
        <v>18.899999999999999</v>
      </c>
      <c r="Q19" s="22">
        <v>17.7</v>
      </c>
      <c r="R19" s="22">
        <v>18.3</v>
      </c>
      <c r="S19" s="22">
        <v>19.2</v>
      </c>
      <c r="T19" s="22">
        <v>20.100000000000001</v>
      </c>
      <c r="U19" s="22">
        <v>20.9</v>
      </c>
      <c r="V19" s="22">
        <v>18</v>
      </c>
      <c r="W19" s="22">
        <v>20.100000000000001</v>
      </c>
      <c r="X19" s="22">
        <v>21</v>
      </c>
      <c r="Y19" s="22">
        <v>16.600000000000001</v>
      </c>
      <c r="Z19" s="22">
        <v>16.600000000000001</v>
      </c>
      <c r="AA19" s="22">
        <v>14.4</v>
      </c>
      <c r="AB19" s="22">
        <v>7.9</v>
      </c>
      <c r="AC19" s="22">
        <v>3.2</v>
      </c>
      <c r="AD19" s="22">
        <v>-1.7</v>
      </c>
      <c r="AE19" s="22">
        <v>-3.6</v>
      </c>
      <c r="AF19" s="22">
        <v>-5.0999999999999996</v>
      </c>
      <c r="AG19" s="22">
        <v>-21.9</v>
      </c>
      <c r="AH19" s="22">
        <v>-8.3000000000000007</v>
      </c>
      <c r="AI19" s="22">
        <v>-10.4</v>
      </c>
      <c r="AJ19" s="22">
        <v>-15</v>
      </c>
      <c r="AK19" s="22">
        <v>-17.600000000000001</v>
      </c>
      <c r="AL19" s="3">
        <f t="shared" ref="AL19:AL26" si="1">AVERAGE(B19:AK19)</f>
        <v>2.3277777777777779</v>
      </c>
    </row>
    <row r="20" spans="1:38" x14ac:dyDescent="0.25">
      <c r="A20" s="2">
        <v>2017</v>
      </c>
      <c r="B20" s="22">
        <v>-10</v>
      </c>
      <c r="C20" s="22">
        <v>-17.600000000000001</v>
      </c>
      <c r="D20" s="22">
        <v>-17.100000000000001</v>
      </c>
      <c r="E20" s="22">
        <v>-18.399999999999999</v>
      </c>
      <c r="F20" s="22">
        <v>-21.6</v>
      </c>
      <c r="G20" s="22">
        <v>-6.7</v>
      </c>
      <c r="H20" s="22">
        <v>-9.5</v>
      </c>
      <c r="I20" s="22">
        <v>-13.7</v>
      </c>
      <c r="J20" s="22">
        <v>-5.3</v>
      </c>
      <c r="K20" s="22">
        <v>1.6</v>
      </c>
      <c r="L20" s="22">
        <v>6.5</v>
      </c>
      <c r="M20" s="22">
        <v>9.5</v>
      </c>
      <c r="N20" s="22">
        <v>11.5</v>
      </c>
      <c r="O20" s="22">
        <v>12.6</v>
      </c>
      <c r="P20" s="22">
        <v>14.9</v>
      </c>
      <c r="Q20" s="22">
        <v>15.5</v>
      </c>
      <c r="R20" s="22">
        <v>21.9</v>
      </c>
      <c r="S20" s="22">
        <v>22.1</v>
      </c>
      <c r="T20" s="22">
        <v>18.5</v>
      </c>
      <c r="U20" s="22">
        <v>17</v>
      </c>
      <c r="V20" s="22">
        <v>20.9</v>
      </c>
      <c r="W20" s="22">
        <v>19.100000000000001</v>
      </c>
      <c r="X20" s="22">
        <v>14.7</v>
      </c>
      <c r="Y20" s="22">
        <v>19.7</v>
      </c>
      <c r="Z20" s="22">
        <v>14.6</v>
      </c>
      <c r="AA20" s="22">
        <v>10.7</v>
      </c>
      <c r="AB20" s="22">
        <v>2.8</v>
      </c>
      <c r="AC20" s="22">
        <v>0.7</v>
      </c>
      <c r="AD20" s="22">
        <v>3.3</v>
      </c>
      <c r="AE20" s="22">
        <v>-1.8</v>
      </c>
      <c r="AF20" s="22">
        <v>-0.3</v>
      </c>
      <c r="AG20" s="22">
        <v>-2.8</v>
      </c>
      <c r="AH20" s="22">
        <v>-10.7</v>
      </c>
      <c r="AI20" s="22">
        <v>-10.8</v>
      </c>
      <c r="AJ20" s="22">
        <v>-24.7</v>
      </c>
      <c r="AK20" s="22">
        <v>-11.7</v>
      </c>
      <c r="AL20" s="24">
        <f t="shared" si="1"/>
        <v>2.0944444444444432</v>
      </c>
    </row>
    <row r="21" spans="1:38" x14ac:dyDescent="0.25">
      <c r="A21" s="2">
        <v>2018</v>
      </c>
      <c r="B21" s="22">
        <v>-22.3</v>
      </c>
      <c r="C21" s="22">
        <v>-19.100000000000001</v>
      </c>
      <c r="D21" s="22">
        <v>-27.4</v>
      </c>
      <c r="E21" s="22">
        <v>-19.7</v>
      </c>
      <c r="F21" s="22">
        <v>-18.100000000000001</v>
      </c>
      <c r="G21" s="22">
        <v>-15.8</v>
      </c>
      <c r="H21" s="22">
        <v>-15.2</v>
      </c>
      <c r="I21" s="22">
        <v>-11.8</v>
      </c>
      <c r="J21" s="22">
        <v>-5.9</v>
      </c>
      <c r="K21" s="25">
        <v>-1.9</v>
      </c>
      <c r="L21" s="25">
        <v>2.6</v>
      </c>
      <c r="M21" s="25">
        <v>7.9</v>
      </c>
      <c r="N21" s="25">
        <v>6.6</v>
      </c>
      <c r="O21" s="25">
        <v>8.4</v>
      </c>
      <c r="P21" s="25">
        <v>12.1</v>
      </c>
      <c r="Q21" s="25">
        <v>17.7</v>
      </c>
      <c r="R21" s="25">
        <v>17.399999999999995</v>
      </c>
      <c r="S21" s="25">
        <v>18.899999999999999</v>
      </c>
      <c r="T21" s="25">
        <v>23</v>
      </c>
      <c r="U21" s="25">
        <v>22.9</v>
      </c>
      <c r="V21" s="25">
        <v>17.399999999999995</v>
      </c>
      <c r="W21" s="25">
        <v>18.8</v>
      </c>
      <c r="X21" s="25">
        <v>16.600000000000001</v>
      </c>
      <c r="Y21" s="25">
        <v>12.4</v>
      </c>
      <c r="Z21" s="25">
        <v>10.4</v>
      </c>
      <c r="AA21" s="25">
        <v>9.9</v>
      </c>
      <c r="AB21" s="25">
        <v>9.9</v>
      </c>
      <c r="AC21" s="25">
        <v>7.3</v>
      </c>
      <c r="AD21" s="25">
        <v>1</v>
      </c>
      <c r="AE21" s="25">
        <v>0.7</v>
      </c>
      <c r="AF21" s="25">
        <v>-4.0999999999999996</v>
      </c>
      <c r="AG21" s="25">
        <v>-6.4</v>
      </c>
      <c r="AH21" s="25">
        <v>-9.9</v>
      </c>
      <c r="AI21" s="25">
        <v>-18.100000000000001</v>
      </c>
      <c r="AJ21" s="25">
        <v>-15.1</v>
      </c>
      <c r="AK21" s="25">
        <v>-23.8</v>
      </c>
      <c r="AL21" s="24">
        <f t="shared" si="1"/>
        <v>0.20277777777777603</v>
      </c>
    </row>
    <row r="22" spans="1:38" x14ac:dyDescent="0.25">
      <c r="A22" s="2">
        <v>2019</v>
      </c>
      <c r="B22" s="22">
        <v>-18.8</v>
      </c>
      <c r="C22" s="22">
        <v>-16.5</v>
      </c>
      <c r="D22" s="22">
        <v>-20.7</v>
      </c>
      <c r="E22" s="22">
        <v>-28.8</v>
      </c>
      <c r="F22" s="22">
        <v>-15.3</v>
      </c>
      <c r="G22" s="22">
        <v>-14.6</v>
      </c>
      <c r="H22" s="34">
        <v>-9.1999999999999993</v>
      </c>
      <c r="I22" s="34">
        <v>-6.4</v>
      </c>
      <c r="J22" s="34">
        <v>-3</v>
      </c>
      <c r="K22" s="34">
        <v>1.7</v>
      </c>
      <c r="L22" s="34">
        <v>0.1</v>
      </c>
      <c r="M22" s="34">
        <v>3.4</v>
      </c>
      <c r="N22" s="34">
        <v>11.4</v>
      </c>
      <c r="O22" s="34">
        <v>9.3000000000000007</v>
      </c>
      <c r="P22" s="34">
        <v>13.2</v>
      </c>
      <c r="Q22" s="34">
        <v>14.6</v>
      </c>
      <c r="R22" s="34">
        <v>14.9</v>
      </c>
      <c r="S22" s="34">
        <v>16.5</v>
      </c>
      <c r="T22" s="34">
        <v>19.399999999999999</v>
      </c>
      <c r="U22" s="34">
        <v>22.7</v>
      </c>
      <c r="V22" s="34">
        <v>20.8</v>
      </c>
      <c r="W22" s="34">
        <v>18.899999999999999</v>
      </c>
      <c r="X22" s="34">
        <v>19.5</v>
      </c>
      <c r="Y22" s="34">
        <v>14.7</v>
      </c>
      <c r="Z22" s="34">
        <v>10.9</v>
      </c>
      <c r="AA22" s="34">
        <v>13.1</v>
      </c>
      <c r="AB22" s="34">
        <v>5.6</v>
      </c>
      <c r="AC22" s="34">
        <v>7.1</v>
      </c>
      <c r="AD22" s="34">
        <v>3.7</v>
      </c>
      <c r="AE22" s="34">
        <v>3.2</v>
      </c>
      <c r="AF22" s="34">
        <v>-2.8</v>
      </c>
      <c r="AG22" s="34">
        <v>-10.8</v>
      </c>
      <c r="AH22" s="34">
        <v>-14.7</v>
      </c>
      <c r="AI22" s="34">
        <v>-6.7</v>
      </c>
      <c r="AJ22" s="34">
        <v>-11.3</v>
      </c>
      <c r="AK22" s="34">
        <v>-12.2</v>
      </c>
      <c r="AL22" s="3">
        <f t="shared" si="1"/>
        <v>1.4694444444444446</v>
      </c>
    </row>
    <row r="23" spans="1:38" x14ac:dyDescent="0.25">
      <c r="A23" s="2">
        <v>2020</v>
      </c>
      <c r="B23" s="22">
        <v>-7.2</v>
      </c>
      <c r="C23" s="22">
        <v>-11.4</v>
      </c>
      <c r="D23" s="22">
        <v>-12.3</v>
      </c>
      <c r="E23" s="22">
        <v>-10.6</v>
      </c>
      <c r="F23" s="22">
        <v>-9.5</v>
      </c>
      <c r="G23" s="22">
        <v>-5.9</v>
      </c>
      <c r="H23" s="22">
        <v>-7.3</v>
      </c>
      <c r="I23" s="22">
        <v>-1.7</v>
      </c>
      <c r="J23" s="22">
        <v>-2.1</v>
      </c>
      <c r="K23" s="22">
        <v>3.8</v>
      </c>
      <c r="L23" s="22">
        <v>8.6999999999999993</v>
      </c>
      <c r="M23" s="22">
        <v>12.4</v>
      </c>
      <c r="N23" s="22">
        <v>13.2</v>
      </c>
      <c r="O23" s="22">
        <v>18.899999999999999</v>
      </c>
      <c r="P23" s="22">
        <v>11.8</v>
      </c>
      <c r="Q23" s="22">
        <v>19.8</v>
      </c>
      <c r="R23" s="22">
        <v>18.100000000000001</v>
      </c>
      <c r="S23" s="22">
        <v>16.8</v>
      </c>
      <c r="T23" s="22">
        <v>21.4</v>
      </c>
      <c r="U23" s="22">
        <v>25.7</v>
      </c>
      <c r="V23" s="22">
        <v>19.100000000000001</v>
      </c>
      <c r="W23" s="22">
        <v>25.3</v>
      </c>
      <c r="X23" s="22">
        <v>16.399999999999995</v>
      </c>
      <c r="Y23" s="22">
        <v>16.600000000000001</v>
      </c>
      <c r="Z23" s="22">
        <v>11.7</v>
      </c>
      <c r="AA23" s="22">
        <v>11.6</v>
      </c>
      <c r="AB23" s="22">
        <v>6.7</v>
      </c>
      <c r="AC23" s="22">
        <v>3.2</v>
      </c>
      <c r="AD23" s="22">
        <v>6.2</v>
      </c>
      <c r="AE23" s="22">
        <v>0.6</v>
      </c>
      <c r="AF23" s="22">
        <v>2</v>
      </c>
      <c r="AG23" s="22">
        <v>-7.8</v>
      </c>
      <c r="AH23" s="22">
        <v>-12.3</v>
      </c>
      <c r="AI23" s="22">
        <v>-16.100000000000001</v>
      </c>
      <c r="AJ23" s="22">
        <v>-12.3</v>
      </c>
      <c r="AK23" s="22">
        <v>-18.2</v>
      </c>
      <c r="AL23" s="3">
        <f t="shared" si="1"/>
        <v>4.3138888888888873</v>
      </c>
    </row>
    <row r="24" spans="1:38" x14ac:dyDescent="0.25">
      <c r="A24" s="2">
        <v>2021</v>
      </c>
      <c r="B24" s="22">
        <v>-27.7</v>
      </c>
      <c r="C24" s="22">
        <v>-20.100000000000001</v>
      </c>
      <c r="D24" s="22">
        <v>-18.600000000000001</v>
      </c>
      <c r="E24" s="22">
        <v>-14.1</v>
      </c>
      <c r="F24" s="22">
        <v>-18.100000000000001</v>
      </c>
      <c r="G24" s="22">
        <v>-25.1</v>
      </c>
      <c r="H24" s="22">
        <v>-10.5</v>
      </c>
      <c r="I24" s="22">
        <v>-14.2</v>
      </c>
      <c r="J24" s="22">
        <v>-6.1</v>
      </c>
      <c r="K24" s="22">
        <v>-2.2000000000000002</v>
      </c>
      <c r="L24" s="22">
        <v>2.8</v>
      </c>
      <c r="M24" s="22">
        <v>7.4</v>
      </c>
      <c r="N24" s="22">
        <v>12</v>
      </c>
      <c r="O24" s="22">
        <v>17.3</v>
      </c>
      <c r="P24" s="22">
        <v>22.5</v>
      </c>
      <c r="Q24" s="22">
        <v>17.2</v>
      </c>
      <c r="R24" s="22">
        <v>20</v>
      </c>
      <c r="S24" s="22">
        <v>18.7</v>
      </c>
      <c r="T24" s="22">
        <v>29.8</v>
      </c>
      <c r="U24" s="22">
        <v>17.399999999999995</v>
      </c>
      <c r="V24" s="22">
        <v>20.9</v>
      </c>
      <c r="W24" s="22">
        <v>20.5</v>
      </c>
      <c r="X24" s="22">
        <v>17.5</v>
      </c>
      <c r="Y24" s="22">
        <v>18.600000000000001</v>
      </c>
      <c r="Z24" s="22">
        <v>12.4</v>
      </c>
      <c r="AA24" s="22">
        <v>9.9</v>
      </c>
      <c r="AB24" s="22">
        <v>3.8</v>
      </c>
      <c r="AC24" s="22">
        <v>2.7</v>
      </c>
      <c r="AD24" s="22">
        <v>2.2999999999999998</v>
      </c>
      <c r="AE24" s="22">
        <v>2.1</v>
      </c>
      <c r="AF24" s="22">
        <v>-2.4</v>
      </c>
      <c r="AG24" s="22">
        <v>-9</v>
      </c>
      <c r="AH24" s="22">
        <v>-11.2</v>
      </c>
      <c r="AI24" s="22">
        <v>-9.1</v>
      </c>
      <c r="AJ24" s="22">
        <v>-8.4</v>
      </c>
      <c r="AK24" s="22">
        <v>-14.5</v>
      </c>
      <c r="AL24" s="3">
        <f t="shared" si="1"/>
        <v>1.7916666666666683</v>
      </c>
    </row>
    <row r="25" spans="1:38" x14ac:dyDescent="0.25">
      <c r="A25" s="2">
        <v>2022</v>
      </c>
      <c r="B25" s="22">
        <v>-12.3</v>
      </c>
      <c r="C25" s="22">
        <v>-16.100000000000001</v>
      </c>
      <c r="D25" s="22">
        <v>-20.399999999999999</v>
      </c>
      <c r="E25" s="22">
        <v>-16.7</v>
      </c>
      <c r="F25" s="22">
        <v>-17.899999999999999</v>
      </c>
      <c r="G25" s="22">
        <v>-9.9</v>
      </c>
      <c r="H25" s="22">
        <v>-11.2</v>
      </c>
      <c r="I25" s="22">
        <v>-16.7</v>
      </c>
      <c r="J25" s="22">
        <v>-5.7</v>
      </c>
      <c r="K25" s="22">
        <v>4.0999999999999996</v>
      </c>
      <c r="L25" s="22">
        <v>7.7</v>
      </c>
      <c r="M25" s="22">
        <v>7.6</v>
      </c>
      <c r="N25" s="22">
        <v>8.8000000000000007</v>
      </c>
      <c r="O25" s="22">
        <v>16.5</v>
      </c>
      <c r="P25" s="22">
        <v>19.3</v>
      </c>
      <c r="Q25" s="22">
        <v>17</v>
      </c>
      <c r="R25" s="22">
        <v>20</v>
      </c>
      <c r="S25" s="22">
        <v>19.3</v>
      </c>
      <c r="T25" s="22">
        <v>18.8</v>
      </c>
      <c r="U25" s="22">
        <v>22.5</v>
      </c>
      <c r="V25" s="22">
        <v>20.7</v>
      </c>
      <c r="W25" s="22">
        <v>20.100000000000001</v>
      </c>
      <c r="X25" s="22">
        <v>16.399999999999999</v>
      </c>
      <c r="Y25" s="22">
        <v>16.8</v>
      </c>
      <c r="Z25" s="22">
        <v>15.5</v>
      </c>
      <c r="AA25" s="22">
        <v>10.6</v>
      </c>
      <c r="AB25" s="22">
        <v>9.1</v>
      </c>
      <c r="AC25" s="22">
        <v>6.6</v>
      </c>
      <c r="AD25" s="22">
        <v>6.9</v>
      </c>
      <c r="AE25" s="22">
        <v>-1.2</v>
      </c>
      <c r="AF25" s="22">
        <v>-0.6</v>
      </c>
      <c r="AG25" s="22">
        <v>-6.9</v>
      </c>
      <c r="AH25" s="22">
        <v>-21.2</v>
      </c>
      <c r="AI25" s="22">
        <v>-23.7</v>
      </c>
      <c r="AJ25" s="22">
        <v>-16.399999999999999</v>
      </c>
      <c r="AK25" s="22">
        <v>-14.7</v>
      </c>
      <c r="AL25" s="3">
        <f t="shared" si="1"/>
        <v>2.0194444444444439</v>
      </c>
    </row>
    <row r="26" spans="1:38" x14ac:dyDescent="0.25">
      <c r="A26" s="2">
        <v>2023</v>
      </c>
      <c r="B26" s="22">
        <v>-14.8</v>
      </c>
      <c r="C26" s="22">
        <v>-14.1</v>
      </c>
      <c r="D26" s="22">
        <v>-12.4</v>
      </c>
      <c r="E26" s="22">
        <v>-21</v>
      </c>
      <c r="F26" s="22">
        <v>-20.8</v>
      </c>
      <c r="G26" s="22">
        <v>-7.4</v>
      </c>
      <c r="H26" s="22">
        <v>-5.6</v>
      </c>
      <c r="I26" s="22">
        <v>-8.1</v>
      </c>
      <c r="J26" s="22">
        <v>-2.5</v>
      </c>
      <c r="K26" s="22">
        <v>1.6</v>
      </c>
      <c r="L26" s="22">
        <v>-1.1000000000000001</v>
      </c>
      <c r="M26" s="22">
        <v>9.8000000000000007</v>
      </c>
      <c r="N26" s="22">
        <v>10.7</v>
      </c>
      <c r="O26" s="22">
        <v>11.9</v>
      </c>
      <c r="P26" s="22">
        <v>18.399999999999999</v>
      </c>
      <c r="Q26" s="22">
        <v>25.3</v>
      </c>
      <c r="R26" s="22">
        <v>19</v>
      </c>
      <c r="S26" s="22">
        <v>15.7</v>
      </c>
      <c r="T26" s="22">
        <v>25.4</v>
      </c>
      <c r="U26" s="22">
        <v>24.7</v>
      </c>
      <c r="V26" s="22">
        <v>23.8</v>
      </c>
      <c r="W26" s="22">
        <v>25.4</v>
      </c>
      <c r="X26" s="22">
        <v>17.2</v>
      </c>
      <c r="Y26" s="22">
        <v>17.899999999999999</v>
      </c>
      <c r="Z26" s="22">
        <v>14.6</v>
      </c>
      <c r="AA26" s="22">
        <v>15.5</v>
      </c>
      <c r="AB26" s="22">
        <v>13.9</v>
      </c>
      <c r="AC26" s="22">
        <v>11.9</v>
      </c>
      <c r="AD26" s="22">
        <v>8.1</v>
      </c>
      <c r="AE26" s="22">
        <v>0.3</v>
      </c>
      <c r="AF26" s="22">
        <v>-1.1000000000000001</v>
      </c>
      <c r="AG26" s="22">
        <v>0.2</v>
      </c>
      <c r="AH26" s="22">
        <v>-2.8</v>
      </c>
      <c r="AI26" s="22">
        <v>-15.9</v>
      </c>
      <c r="AJ26" s="22">
        <v>-21.7</v>
      </c>
      <c r="AK26" s="22">
        <v>-4.7</v>
      </c>
      <c r="AL26" s="3">
        <f t="shared" si="1"/>
        <v>4.3694444444444445</v>
      </c>
    </row>
    <row r="27" spans="1:38" x14ac:dyDescent="0.25">
      <c r="A27" s="2">
        <v>2024</v>
      </c>
      <c r="B27" s="3">
        <v>-11.5</v>
      </c>
      <c r="C27" s="3">
        <v>-20.6</v>
      </c>
      <c r="D27" s="3">
        <v>-18.399999999999999</v>
      </c>
      <c r="E27" s="3">
        <v>-9.1999999999999993</v>
      </c>
      <c r="F27" s="3">
        <v>-22.1</v>
      </c>
      <c r="G27" s="3">
        <v>-16</v>
      </c>
      <c r="H27" s="3">
        <v>-8.9</v>
      </c>
      <c r="I27" s="3">
        <v>-10.9</v>
      </c>
      <c r="J27" s="3">
        <v>-2.4</v>
      </c>
      <c r="K27" s="3">
        <v>3</v>
      </c>
      <c r="L27" s="3">
        <v>9</v>
      </c>
      <c r="M27" s="3">
        <v>9.4</v>
      </c>
      <c r="N27" s="3">
        <v>9.1999999999999993</v>
      </c>
      <c r="O27" s="3">
        <v>13.4</v>
      </c>
      <c r="P27" s="3">
        <v>9.8000000000000007</v>
      </c>
      <c r="Q27" s="3">
        <v>18.100000000000001</v>
      </c>
      <c r="R27" s="3">
        <v>21.5</v>
      </c>
      <c r="S27" s="3">
        <v>23.3</v>
      </c>
      <c r="T27" s="3">
        <v>19.7</v>
      </c>
      <c r="U27" s="3">
        <v>22.5</v>
      </c>
      <c r="V27" s="3">
        <v>19.5</v>
      </c>
      <c r="W27" s="3">
        <v>19.100000000000001</v>
      </c>
      <c r="X27" s="3">
        <v>16.600000000000001</v>
      </c>
      <c r="Y27" s="3">
        <v>15.5</v>
      </c>
      <c r="Z27" s="3">
        <v>12.5</v>
      </c>
      <c r="AA27" s="3">
        <v>11.9</v>
      </c>
      <c r="AB27" s="3">
        <v>9.4</v>
      </c>
      <c r="AC27" s="3">
        <v>8.1</v>
      </c>
      <c r="AD27" s="3">
        <v>-1.5</v>
      </c>
      <c r="AE27" s="3">
        <v>3.4</v>
      </c>
      <c r="AF27" s="3">
        <v>-1.7</v>
      </c>
      <c r="AG27" s="3" t="s">
        <v>17</v>
      </c>
      <c r="AH27" s="3">
        <v>-11.1</v>
      </c>
      <c r="AI27" s="3">
        <v>-11.2</v>
      </c>
      <c r="AJ27" s="3">
        <v>-7.1</v>
      </c>
      <c r="AK27" s="3">
        <v>-9.9</v>
      </c>
      <c r="AL27" s="3">
        <f>AVERAGE(B27:AK27)</f>
        <v>3.2114285714285722</v>
      </c>
    </row>
    <row r="28" spans="1:38" x14ac:dyDescent="0.25">
      <c r="A28" s="2">
        <v>2025</v>
      </c>
      <c r="B28" s="35">
        <v>-6.4</v>
      </c>
      <c r="C28" s="35">
        <v>-9.4</v>
      </c>
      <c r="D28" s="35">
        <v>-16.600000000000001</v>
      </c>
      <c r="E28" s="35">
        <v>-8.6999999999999993</v>
      </c>
      <c r="F28" s="35">
        <v>-12</v>
      </c>
      <c r="G28" s="35">
        <v>-11</v>
      </c>
      <c r="H28" s="35">
        <v>-10.8</v>
      </c>
      <c r="I28" s="35">
        <v>-2.1</v>
      </c>
      <c r="J28" s="35">
        <v>1.5</v>
      </c>
      <c r="K28" s="35">
        <v>9.4</v>
      </c>
      <c r="L28" s="35">
        <v>7.8</v>
      </c>
      <c r="M28" s="35">
        <v>12.7</v>
      </c>
      <c r="N28" s="35">
        <v>15</v>
      </c>
      <c r="O28" s="35">
        <v>16.3</v>
      </c>
      <c r="P28" s="35">
        <v>14.6</v>
      </c>
      <c r="Q28" s="35">
        <v>20</v>
      </c>
      <c r="R28" s="35">
        <v>24.2</v>
      </c>
      <c r="S28" s="35">
        <v>18.8</v>
      </c>
      <c r="T28" s="35">
        <v>22.1</v>
      </c>
      <c r="U28" s="35">
        <v>19.3</v>
      </c>
      <c r="V28" s="35">
        <v>20.399999999999999</v>
      </c>
      <c r="W28" s="35">
        <v>16.3</v>
      </c>
      <c r="X28" s="35">
        <v>17.100000000000001</v>
      </c>
      <c r="Y28" s="35">
        <v>18.8</v>
      </c>
      <c r="Z28" s="35">
        <v>15.2</v>
      </c>
      <c r="AA28" s="35">
        <v>12.3</v>
      </c>
      <c r="AB28" s="35">
        <v>12</v>
      </c>
      <c r="AC28" s="35">
        <v>4</v>
      </c>
      <c r="AD28" s="35">
        <v>-1</v>
      </c>
      <c r="AE28" s="35">
        <v>2.2999999999999998</v>
      </c>
      <c r="AF28" s="35">
        <v>-2.4</v>
      </c>
      <c r="AG28" s="35">
        <v>-0.1</v>
      </c>
      <c r="AH28" s="35">
        <v>-1.2</v>
      </c>
      <c r="AI28" s="35">
        <v>-6.3</v>
      </c>
      <c r="AJ28" s="35">
        <v>-10.9</v>
      </c>
      <c r="AK28" s="35">
        <v>-13.1</v>
      </c>
      <c r="AL28" s="3">
        <f>AVERAGE(B28:AK28)</f>
        <v>5.2250000000000005</v>
      </c>
    </row>
    <row r="29" spans="1:38" x14ac:dyDescent="0.25">
      <c r="A29" s="2">
        <v>2026</v>
      </c>
      <c r="B29" s="35">
        <v>-12.7</v>
      </c>
      <c r="C29" s="35">
        <v>-21.8</v>
      </c>
      <c r="D29" s="35">
        <v>-22</v>
      </c>
      <c r="E29" s="35">
        <v>-13.5</v>
      </c>
      <c r="F29" s="35">
        <v>-13.9</v>
      </c>
      <c r="G29" s="35">
        <v>-23.3</v>
      </c>
      <c r="H29" s="35">
        <v>-12.4</v>
      </c>
      <c r="I29" s="35">
        <v>-3.1</v>
      </c>
      <c r="J29" s="35">
        <v>1.8</v>
      </c>
      <c r="K29" s="35">
        <v>7.3</v>
      </c>
      <c r="L29" s="35">
        <v>5.6</v>
      </c>
      <c r="M29" s="35">
        <v>13.5</v>
      </c>
      <c r="N29" s="35">
        <v>15.4</v>
      </c>
      <c r="O29" s="35">
        <v>13</v>
      </c>
      <c r="P29" s="35">
        <v>17.600000000000001</v>
      </c>
      <c r="Q29" s="35">
        <v>22.6</v>
      </c>
      <c r="R29" s="35">
        <v>22.9</v>
      </c>
      <c r="S29" s="35">
        <v>24.4</v>
      </c>
      <c r="T29" s="35">
        <v>23</v>
      </c>
      <c r="U29" s="35">
        <v>23.3</v>
      </c>
      <c r="V29" s="35">
        <v>23.5</v>
      </c>
      <c r="W29" s="35">
        <v>22.8</v>
      </c>
      <c r="X29" s="35">
        <v>20.3</v>
      </c>
      <c r="Y29" s="35">
        <v>17.3</v>
      </c>
      <c r="Z29" s="35">
        <v>17.5</v>
      </c>
      <c r="AA29" s="35">
        <v>16.2</v>
      </c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4"/>
    </row>
  </sheetData>
  <mergeCells count="30">
    <mergeCell ref="AL17:AL18"/>
    <mergeCell ref="Q17:S17"/>
    <mergeCell ref="T17:V17"/>
    <mergeCell ref="W17:Y17"/>
    <mergeCell ref="Z17:AB17"/>
    <mergeCell ref="AC17:AE17"/>
    <mergeCell ref="AF17:AH17"/>
    <mergeCell ref="A17:A18"/>
    <mergeCell ref="B17:D17"/>
    <mergeCell ref="E17:G17"/>
    <mergeCell ref="H17:J17"/>
    <mergeCell ref="K17:M17"/>
    <mergeCell ref="N17:P17"/>
    <mergeCell ref="Z2:AB2"/>
    <mergeCell ref="AC2:AE2"/>
    <mergeCell ref="AF2:AH2"/>
    <mergeCell ref="AI2:AK2"/>
    <mergeCell ref="AI17:AK17"/>
    <mergeCell ref="AL2:AL3"/>
    <mergeCell ref="A16:AK16"/>
    <mergeCell ref="A1:AK1"/>
    <mergeCell ref="A2:A3"/>
    <mergeCell ref="B2:D2"/>
    <mergeCell ref="E2:G2"/>
    <mergeCell ref="H2:J2"/>
    <mergeCell ref="K2:M2"/>
    <mergeCell ref="N2:P2"/>
    <mergeCell ref="Q2:S2"/>
    <mergeCell ref="T2:V2"/>
    <mergeCell ref="W2:Y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КИШКЕНЕКОЛЬ</vt:lpstr>
      <vt:lpstr>АКТУЕСАЙ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2026-09-30T05:53:50Z</dcterms:modified>
</cp:coreProperties>
</file>