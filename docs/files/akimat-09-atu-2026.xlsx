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8280" activeTab="9"/>
  </bookViews>
  <sheets>
    <sheet name="январь" sheetId="10" r:id="rId1"/>
    <sheet name="февраль" sheetId="22" r:id="rId2"/>
    <sheet name="март" sheetId="23" r:id="rId3"/>
    <sheet name="апрель" sheetId="24" r:id="rId4"/>
    <sheet name="май" sheetId="25" r:id="rId5"/>
    <sheet name="июнь" sheetId="26" r:id="rId6"/>
    <sheet name="июль" sheetId="27" r:id="rId7"/>
    <sheet name="август" sheetId="28" r:id="rId8"/>
    <sheet name="сентябрь" sheetId="29" r:id="rId9"/>
    <sheet name="октябрь" sheetId="3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<sst xmlns="http://schemas.openxmlformats.org/spreadsheetml/2006/main" count="590" uniqueCount="57">
  <si>
    <t xml:space="preserve">Сведения </t>
  </si>
  <si>
    <t xml:space="preserve">об административно-территориальном устройстве Уалихановского района </t>
  </si>
  <si>
    <r>
      <rPr>
        <b/>
        <sz val="12"/>
        <rFont val="Arial"/>
        <charset val="204"/>
      </rPr>
      <t xml:space="preserve">по состоянию </t>
    </r>
    <r>
      <rPr>
        <b/>
        <sz val="12"/>
        <color rgb="FFFF0000"/>
        <rFont val="Arial"/>
        <charset val="204"/>
      </rPr>
      <t>на</t>
    </r>
    <r>
      <rPr>
        <b/>
        <sz val="12"/>
        <rFont val="Arial"/>
        <charset val="204"/>
      </rPr>
      <t xml:space="preserve"> </t>
    </r>
    <r>
      <rPr>
        <b/>
        <sz val="12"/>
        <color rgb="FFFF0000"/>
        <rFont val="Arial"/>
        <charset val="204"/>
      </rPr>
      <t>1 января 2026 года</t>
    </r>
  </si>
  <si>
    <t>№ п/п</t>
  </si>
  <si>
    <t xml:space="preserve">Наименование 
сельского округа, населенного пункта </t>
  </si>
  <si>
    <t>Центр 
сельского округа</t>
  </si>
  <si>
    <t>Численность населения фактическая (чел.)</t>
  </si>
  <si>
    <t>Количество дворов</t>
  </si>
  <si>
    <t>Расстояние (км.)</t>
  </si>
  <si>
    <t xml:space="preserve"> до областного центра</t>
  </si>
  <si>
    <t xml:space="preserve">до райцентра </t>
  </si>
  <si>
    <t>до центра сельского округа</t>
  </si>
  <si>
    <t>Акбулакский</t>
  </si>
  <si>
    <t>а.Акбулак</t>
  </si>
  <si>
    <t>с.Карашилик</t>
  </si>
  <si>
    <t>с.Жас Улан</t>
  </si>
  <si>
    <t>Актуесайский</t>
  </si>
  <si>
    <t>с.Актуесай</t>
  </si>
  <si>
    <t>с.Кузексай</t>
  </si>
  <si>
    <t>а.Кондыбай</t>
  </si>
  <si>
    <t>Амангельдинский</t>
  </si>
  <si>
    <t>а.Амангельды</t>
  </si>
  <si>
    <t>а.Тлеусай</t>
  </si>
  <si>
    <t>Бидайыкский</t>
  </si>
  <si>
    <t>а.Бидайык</t>
  </si>
  <si>
    <t>с.Ондирис</t>
  </si>
  <si>
    <t>с.Жамбыл</t>
  </si>
  <si>
    <t>Кайратский</t>
  </si>
  <si>
    <t>с.Кайрат</t>
  </si>
  <si>
    <t>с.Жаскайрат</t>
  </si>
  <si>
    <t>Карасуский</t>
  </si>
  <si>
    <t>а.Аккудык</t>
  </si>
  <si>
    <t>с.Золотая Нива</t>
  </si>
  <si>
    <t>Каратерекский</t>
  </si>
  <si>
    <t>а.Каратерек</t>
  </si>
  <si>
    <t>Коктерекский</t>
  </si>
  <si>
    <t>а.Мортык</t>
  </si>
  <si>
    <t>а.Коктерек</t>
  </si>
  <si>
    <t>Кулыкольский</t>
  </si>
  <si>
    <t>а.Кулыколь</t>
  </si>
  <si>
    <t>с.Каратал</t>
  </si>
  <si>
    <t>а.Береке</t>
  </si>
  <si>
    <t>Тельжанский</t>
  </si>
  <si>
    <t>а.Тельжан</t>
  </si>
  <si>
    <t>с.Кобенсай</t>
  </si>
  <si>
    <t>Кишкенекольский</t>
  </si>
  <si>
    <t>с.Кишкенеколь</t>
  </si>
  <si>
    <t>24 населенных пунктов</t>
  </si>
  <si>
    <r>
      <rPr>
        <b/>
        <sz val="12"/>
        <rFont val="Arial"/>
        <charset val="204"/>
      </rPr>
      <t xml:space="preserve">по состоянию </t>
    </r>
    <r>
      <rPr>
        <b/>
        <sz val="12"/>
        <color rgb="FFFF0000"/>
        <rFont val="Arial"/>
        <charset val="204"/>
      </rPr>
      <t>на</t>
    </r>
    <r>
      <rPr>
        <b/>
        <sz val="12"/>
        <rFont val="Arial"/>
        <charset val="204"/>
      </rPr>
      <t xml:space="preserve"> </t>
    </r>
    <r>
      <rPr>
        <b/>
        <sz val="12"/>
        <color rgb="FFFF0000"/>
        <rFont val="Arial"/>
        <charset val="204"/>
      </rPr>
      <t>1 февраля 2026 года</t>
    </r>
  </si>
  <si>
    <t>Количество дворов (факт)</t>
  </si>
  <si>
    <r>
      <rPr>
        <b/>
        <sz val="12"/>
        <rFont val="Arial"/>
        <charset val="204"/>
      </rPr>
      <t xml:space="preserve">по состоянию </t>
    </r>
    <r>
      <rPr>
        <b/>
        <sz val="12"/>
        <color rgb="FFFF0000"/>
        <rFont val="Arial"/>
        <charset val="204"/>
      </rPr>
      <t>на</t>
    </r>
    <r>
      <rPr>
        <b/>
        <sz val="12"/>
        <rFont val="Arial"/>
        <charset val="204"/>
      </rPr>
      <t xml:space="preserve"> </t>
    </r>
    <r>
      <rPr>
        <b/>
        <sz val="12"/>
        <color rgb="FFFF0000"/>
        <rFont val="Arial"/>
        <charset val="204"/>
      </rPr>
      <t>1 марта 2026 года</t>
    </r>
  </si>
  <si>
    <r>
      <rPr>
        <b/>
        <sz val="12"/>
        <rFont val="Arial"/>
        <charset val="204"/>
      </rPr>
      <t xml:space="preserve">по состоянию </t>
    </r>
    <r>
      <rPr>
        <b/>
        <sz val="12"/>
        <color rgb="FFFF0000"/>
        <rFont val="Arial"/>
        <charset val="204"/>
      </rPr>
      <t>на</t>
    </r>
    <r>
      <rPr>
        <b/>
        <sz val="12"/>
        <rFont val="Arial"/>
        <charset val="204"/>
      </rPr>
      <t xml:space="preserve"> </t>
    </r>
    <r>
      <rPr>
        <b/>
        <sz val="12"/>
        <color rgb="FFFF0000"/>
        <rFont val="Arial"/>
        <charset val="204"/>
      </rPr>
      <t>1 мая 2026 года</t>
    </r>
  </si>
  <si>
    <r>
      <rPr>
        <b/>
        <sz val="12"/>
        <rFont val="Arial"/>
        <charset val="204"/>
      </rPr>
      <t xml:space="preserve">по состоянию </t>
    </r>
    <r>
      <rPr>
        <b/>
        <sz val="12"/>
        <color rgb="FFFF0000"/>
        <rFont val="Arial"/>
        <charset val="204"/>
      </rPr>
      <t>на</t>
    </r>
    <r>
      <rPr>
        <b/>
        <sz val="12"/>
        <rFont val="Arial"/>
        <charset val="204"/>
      </rPr>
      <t xml:space="preserve"> </t>
    </r>
    <r>
      <rPr>
        <b/>
        <sz val="12"/>
        <color rgb="FFFF0000"/>
        <rFont val="Arial"/>
        <charset val="204"/>
      </rPr>
      <t>1 июня 2026 года</t>
    </r>
  </si>
  <si>
    <r>
      <rPr>
        <b/>
        <sz val="12"/>
        <rFont val="Arial"/>
        <charset val="204"/>
      </rPr>
      <t xml:space="preserve">по состоянию </t>
    </r>
    <r>
      <rPr>
        <b/>
        <sz val="12"/>
        <color rgb="FFFF0000"/>
        <rFont val="Arial"/>
        <charset val="204"/>
      </rPr>
      <t>на</t>
    </r>
    <r>
      <rPr>
        <b/>
        <sz val="12"/>
        <rFont val="Arial"/>
        <charset val="204"/>
      </rPr>
      <t xml:space="preserve"> </t>
    </r>
    <r>
      <rPr>
        <b/>
        <sz val="12"/>
        <color rgb="FFFF0000"/>
        <rFont val="Arial"/>
        <charset val="204"/>
      </rPr>
      <t>1 июля 2026 года</t>
    </r>
  </si>
  <si>
    <r>
      <rPr>
        <b/>
        <sz val="12"/>
        <rFont val="Arial"/>
        <charset val="204"/>
      </rPr>
      <t xml:space="preserve">по состоянию </t>
    </r>
    <r>
      <rPr>
        <b/>
        <sz val="12"/>
        <color rgb="FFFF0000"/>
        <rFont val="Arial"/>
        <charset val="204"/>
      </rPr>
      <t>на</t>
    </r>
    <r>
      <rPr>
        <b/>
        <sz val="12"/>
        <rFont val="Arial"/>
        <charset val="204"/>
      </rPr>
      <t xml:space="preserve"> </t>
    </r>
    <r>
      <rPr>
        <b/>
        <sz val="12"/>
        <color rgb="FFFF0000"/>
        <rFont val="Arial"/>
        <charset val="204"/>
      </rPr>
      <t>1 августа 2026 года</t>
    </r>
  </si>
  <si>
    <r>
      <rPr>
        <b/>
        <sz val="12"/>
        <rFont val="Arial"/>
        <charset val="204"/>
      </rPr>
      <t xml:space="preserve">по состоянию </t>
    </r>
    <r>
      <rPr>
        <b/>
        <sz val="12"/>
        <color rgb="FFFF0000"/>
        <rFont val="Arial"/>
        <charset val="204"/>
      </rPr>
      <t>на</t>
    </r>
    <r>
      <rPr>
        <b/>
        <sz val="12"/>
        <rFont val="Arial"/>
        <charset val="204"/>
      </rPr>
      <t xml:space="preserve"> </t>
    </r>
    <r>
      <rPr>
        <b/>
        <sz val="12"/>
        <color rgb="FFFF0000"/>
        <rFont val="Arial"/>
        <charset val="204"/>
      </rPr>
      <t>1 сентября 2026 года</t>
    </r>
  </si>
  <si>
    <r>
      <t xml:space="preserve">по состоянию </t>
    </r>
    <r>
      <rPr>
        <b/>
        <sz val="12"/>
        <color rgb="FFFF0000"/>
        <rFont val="Arial"/>
        <charset val="204"/>
      </rPr>
      <t>на</t>
    </r>
    <r>
      <rPr>
        <b/>
        <sz val="12"/>
        <rFont val="Arial"/>
        <charset val="204"/>
      </rPr>
      <t xml:space="preserve"> </t>
    </r>
    <r>
      <rPr>
        <b/>
        <sz val="12"/>
        <color rgb="FFFF0000"/>
        <rFont val="Arial"/>
        <charset val="204"/>
      </rPr>
      <t>1 октября 2026 года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</si>
</sst>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7">
    <font>
      <sz val="11"/>
      <color theme="1"/>
      <name val="Calibri"/>
      <charset val="134"/>
      <scheme val="minor"/>
    </font>
    <font>
      <b/>
      <sz val="12"/>
      <name val="Arial"/>
      <charset val="204"/>
    </font>
    <font>
      <sz val="10"/>
      <name val="Arial"/>
      <charset val="204"/>
    </font>
    <font>
      <b/>
      <sz val="10"/>
      <name val="Arial"/>
      <charset val="204"/>
    </font>
    <font>
      <b/>
      <sz val="9"/>
      <name val="Arial"/>
      <charset val="204"/>
    </font>
    <font>
      <i/>
      <sz val="10"/>
      <name val="Arial"/>
      <charset val="204"/>
    </font>
    <font>
      <sz val="10"/>
      <name val="Times New Roman"/>
      <charset val="20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2"/>
      <color rgb="FFFF0000"/>
      <name val="Arial"/>
      <charset val="204"/>
    </font>
  </fonts>
  <fills count="3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7" borderId="10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8" borderId="11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4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3" xfId="0" applyFont="1" applyFill="1" applyBorder="1"/>
    <xf numFmtId="0" fontId="3" fillId="0" borderId="3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49" fontId="2" fillId="2" borderId="1" xfId="0" applyNumberFormat="1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vertical="center" wrapText="1"/>
    </xf>
    <xf numFmtId="3" fontId="3" fillId="2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49" fontId="2" fillId="0" borderId="1" xfId="0" applyNumberFormat="1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49" fontId="2" fillId="0" borderId="1" xfId="0" applyNumberFormat="1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2" borderId="1" xfId="0" applyFont="1" applyFill="1" applyBorder="1" applyAlignment="1">
      <alignment horizontal="center" wrapText="1"/>
    </xf>
    <xf numFmtId="49" fontId="2" fillId="2" borderId="1" xfId="0" applyNumberFormat="1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49" fontId="3" fillId="0" borderId="4" xfId="0" applyNumberFormat="1" applyFont="1" applyFill="1" applyBorder="1" applyAlignment="1">
      <alignment horizontal="center" vertical="center" wrapText="1"/>
    </xf>
    <xf numFmtId="49" fontId="3" fillId="0" borderId="5" xfId="0" applyNumberFormat="1" applyFont="1" applyFill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/>
    </xf>
    <xf numFmtId="0" fontId="0" fillId="4" borderId="0" xfId="0" applyFill="1"/>
    <xf numFmtId="3" fontId="0" fillId="0" borderId="0" xfId="0" applyNumberFormat="1"/>
    <xf numFmtId="0" fontId="3" fillId="0" borderId="2" xfId="0" applyFont="1" applyBorder="1" applyAlignment="1">
      <alignment horizontal="center" vertical="center" wrapText="1"/>
    </xf>
    <xf numFmtId="0" fontId="2" fillId="0" borderId="3" xfId="0" applyFont="1" applyBorder="1"/>
    <xf numFmtId="0" fontId="3" fillId="0" borderId="3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49" fontId="6" fillId="0" borderId="0" xfId="0" applyNumberFormat="1" applyFont="1" applyFill="1" applyBorder="1" applyAlignment="1">
      <alignment vertical="center" wrapText="1"/>
    </xf>
    <xf numFmtId="0" fontId="6" fillId="0" borderId="0" xfId="0" applyFont="1" applyBorder="1" applyAlignment="1">
      <alignment vertical="center" wrapText="1"/>
    </xf>
    <xf numFmtId="3" fontId="6" fillId="0" borderId="0" xfId="0" applyNumberFormat="1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/>
    </xf>
    <xf numFmtId="49" fontId="1" fillId="0" borderId="0" xfId="0" applyNumberFormat="1" applyFont="1" applyFill="1" applyAlignment="1">
      <alignment horizontal="left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5"/>
  <sheetViews>
    <sheetView zoomScale="70" zoomScaleNormal="70" topLeftCell="A9" workbookViewId="0">
      <selection activeCell="A1" sqref="A1:H43"/>
    </sheetView>
  </sheetViews>
  <sheetFormatPr defaultColWidth="9" defaultRowHeight="15"/>
  <cols>
    <col min="1" max="1" width="6" customWidth="1"/>
    <col min="2" max="2" width="16.2857142857143" customWidth="1"/>
    <col min="3" max="3" width="14.1428571428571" customWidth="1"/>
    <col min="4" max="4" width="13.8571428571429" customWidth="1"/>
    <col min="5" max="5" width="12.4285714285714" customWidth="1"/>
    <col min="6" max="6" width="11.8571428571429" customWidth="1"/>
    <col min="7" max="7" width="11.4285714285714" customWidth="1"/>
    <col min="8" max="8" width="11.5714285714286" customWidth="1"/>
    <col min="9" max="9" width="9" hidden="1" customWidth="1"/>
  </cols>
  <sheetData>
    <row r="1" ht="15.75" spans="1:9">
      <c r="A1" s="1" t="s">
        <v>0</v>
      </c>
      <c r="B1" s="1"/>
      <c r="C1" s="1"/>
      <c r="D1" s="1"/>
      <c r="E1" s="1"/>
      <c r="F1" s="1"/>
      <c r="G1" s="1"/>
      <c r="H1" s="1"/>
    </row>
    <row r="2" ht="15.75" spans="1:9">
      <c r="A2" s="1" t="s">
        <v>1</v>
      </c>
      <c r="B2" s="1"/>
      <c r="C2" s="1"/>
      <c r="D2" s="1"/>
      <c r="E2" s="1"/>
      <c r="F2" s="1"/>
      <c r="G2" s="1"/>
      <c r="H2" s="1"/>
    </row>
    <row r="3" ht="15.75" spans="1:9">
      <c r="A3" s="1" t="s">
        <v>2</v>
      </c>
      <c r="B3" s="1"/>
      <c r="C3" s="1"/>
      <c r="D3" s="1"/>
      <c r="E3" s="1"/>
      <c r="F3" s="1"/>
      <c r="G3" s="1"/>
      <c r="H3" s="1"/>
    </row>
    <row r="4" spans="1:9">
      <c r="A4" s="2"/>
      <c r="B4" s="2"/>
      <c r="C4" s="2"/>
      <c r="D4" s="2"/>
      <c r="E4" s="2"/>
      <c r="F4" s="2"/>
      <c r="G4" s="2"/>
      <c r="H4" s="2"/>
    </row>
    <row r="5" customHeight="1" spans="1:9">
      <c r="A5" s="3" t="s">
        <v>3</v>
      </c>
      <c r="B5" s="3" t="s">
        <v>4</v>
      </c>
      <c r="C5" s="3" t="s">
        <v>5</v>
      </c>
      <c r="D5" s="39" t="s">
        <v>6</v>
      </c>
      <c r="E5" s="39" t="s">
        <v>7</v>
      </c>
      <c r="F5" s="5" t="s">
        <v>8</v>
      </c>
      <c r="G5" s="5"/>
      <c r="H5" s="5"/>
    </row>
    <row r="6" ht="36" spans="1:9">
      <c r="A6" s="3"/>
      <c r="B6" s="3"/>
      <c r="C6" s="3"/>
      <c r="D6" s="40"/>
      <c r="E6" s="41"/>
      <c r="F6" s="8" t="s">
        <v>9</v>
      </c>
      <c r="G6" s="8" t="s">
        <v>10</v>
      </c>
      <c r="H6" s="8" t="s">
        <v>11</v>
      </c>
    </row>
    <row r="7" spans="1:9">
      <c r="A7" s="9">
        <v>1</v>
      </c>
      <c r="B7" s="9">
        <v>2</v>
      </c>
      <c r="C7" s="9">
        <v>3</v>
      </c>
      <c r="D7" s="9">
        <v>4</v>
      </c>
      <c r="E7" s="9">
        <v>5</v>
      </c>
      <c r="F7" s="9">
        <v>6</v>
      </c>
      <c r="G7" s="9">
        <v>7</v>
      </c>
      <c r="H7" s="9">
        <v>8</v>
      </c>
    </row>
    <row r="8" spans="1:9">
      <c r="A8" s="10"/>
      <c r="B8" s="11" t="s">
        <v>12</v>
      </c>
      <c r="C8" s="10" t="s">
        <v>13</v>
      </c>
      <c r="D8" s="12">
        <f t="shared" ref="D8:E8" si="0">D9+D10+D11</f>
        <v>789</v>
      </c>
      <c r="E8" s="12">
        <f t="shared" si="0"/>
        <v>219</v>
      </c>
      <c r="F8" s="13"/>
      <c r="G8" s="14"/>
      <c r="H8" s="13"/>
      <c r="I8" s="37"/>
    </row>
    <row r="9" spans="1:9">
      <c r="A9" s="15">
        <v>1</v>
      </c>
      <c r="B9" s="16" t="s">
        <v>13</v>
      </c>
      <c r="C9" s="16"/>
      <c r="D9" s="17">
        <v>402</v>
      </c>
      <c r="E9" s="17">
        <v>116</v>
      </c>
      <c r="F9" s="17">
        <v>378</v>
      </c>
      <c r="G9" s="15">
        <v>28</v>
      </c>
      <c r="H9" s="17"/>
    </row>
    <row r="10" spans="1:9">
      <c r="A10" s="15">
        <v>2</v>
      </c>
      <c r="B10" s="18" t="s">
        <v>14</v>
      </c>
      <c r="C10" s="16"/>
      <c r="D10" s="15">
        <v>154</v>
      </c>
      <c r="E10" s="17">
        <v>34</v>
      </c>
      <c r="F10" s="15">
        <v>390</v>
      </c>
      <c r="G10" s="15">
        <v>40</v>
      </c>
      <c r="H10" s="17">
        <v>12</v>
      </c>
    </row>
    <row r="11" spans="1:9">
      <c r="A11" s="15">
        <v>3</v>
      </c>
      <c r="B11" s="18" t="s">
        <v>15</v>
      </c>
      <c r="C11" s="18"/>
      <c r="D11" s="15">
        <v>233</v>
      </c>
      <c r="E11" s="17">
        <v>69</v>
      </c>
      <c r="F11" s="15">
        <v>410</v>
      </c>
      <c r="G11" s="15">
        <v>60</v>
      </c>
      <c r="H11" s="17">
        <v>32</v>
      </c>
    </row>
    <row r="12" spans="1:9">
      <c r="A12" s="14"/>
      <c r="B12" s="11" t="s">
        <v>16</v>
      </c>
      <c r="C12" s="10" t="s">
        <v>17</v>
      </c>
      <c r="D12" s="19">
        <f t="shared" ref="D12:E12" si="1">D13+D14+D15</f>
        <v>864</v>
      </c>
      <c r="E12" s="12">
        <f t="shared" si="1"/>
        <v>303</v>
      </c>
      <c r="F12" s="14"/>
      <c r="G12" s="14"/>
      <c r="H12" s="13"/>
      <c r="I12" s="37"/>
    </row>
    <row r="13" spans="1:9">
      <c r="A13" s="20">
        <v>4</v>
      </c>
      <c r="B13" s="21" t="s">
        <v>17</v>
      </c>
      <c r="C13" s="21"/>
      <c r="D13" s="22">
        <v>489</v>
      </c>
      <c r="E13" s="23">
        <v>158</v>
      </c>
      <c r="F13" s="23">
        <v>395</v>
      </c>
      <c r="G13" s="23">
        <v>45</v>
      </c>
      <c r="H13" s="24"/>
    </row>
    <row r="14" spans="1:9">
      <c r="A14" s="20">
        <v>5</v>
      </c>
      <c r="B14" s="25" t="s">
        <v>18</v>
      </c>
      <c r="C14" s="21"/>
      <c r="D14" s="22">
        <v>84</v>
      </c>
      <c r="E14" s="23">
        <v>33</v>
      </c>
      <c r="F14" s="20">
        <v>403</v>
      </c>
      <c r="G14" s="20">
        <v>53</v>
      </c>
      <c r="H14" s="23">
        <v>8</v>
      </c>
    </row>
    <row r="15" spans="1:9">
      <c r="A15" s="20">
        <v>6</v>
      </c>
      <c r="B15" s="25" t="s">
        <v>19</v>
      </c>
      <c r="C15" s="21"/>
      <c r="D15" s="22">
        <v>291</v>
      </c>
      <c r="E15" s="23">
        <v>112</v>
      </c>
      <c r="F15" s="20">
        <v>368</v>
      </c>
      <c r="G15" s="20">
        <v>18</v>
      </c>
      <c r="H15" s="23">
        <v>27</v>
      </c>
    </row>
    <row r="16" customHeight="1" spans="1:9">
      <c r="A16" s="14"/>
      <c r="B16" s="11" t="s">
        <v>20</v>
      </c>
      <c r="C16" s="10" t="s">
        <v>21</v>
      </c>
      <c r="D16" s="26">
        <f>D17+D18</f>
        <v>193</v>
      </c>
      <c r="E16" s="12">
        <f t="shared" ref="E16" si="2">E17+E18</f>
        <v>66</v>
      </c>
      <c r="F16" s="14"/>
      <c r="G16" s="14"/>
      <c r="H16" s="13"/>
      <c r="I16" s="37"/>
    </row>
    <row r="17" spans="1:9">
      <c r="A17" s="20">
        <v>7</v>
      </c>
      <c r="B17" s="25" t="s">
        <v>21</v>
      </c>
      <c r="C17" s="21"/>
      <c r="D17" s="22">
        <v>13</v>
      </c>
      <c r="E17" s="23">
        <v>7</v>
      </c>
      <c r="F17" s="23">
        <v>495</v>
      </c>
      <c r="G17" s="23">
        <v>115</v>
      </c>
      <c r="H17" s="23"/>
    </row>
    <row r="18" spans="1:9">
      <c r="A18" s="20">
        <v>8</v>
      </c>
      <c r="B18" s="25" t="s">
        <v>22</v>
      </c>
      <c r="C18" s="21"/>
      <c r="D18" s="22">
        <v>180</v>
      </c>
      <c r="E18" s="23">
        <v>59</v>
      </c>
      <c r="F18" s="20">
        <v>480</v>
      </c>
      <c r="G18" s="20">
        <v>100</v>
      </c>
      <c r="H18" s="23">
        <v>15</v>
      </c>
    </row>
    <row r="19" spans="1:9">
      <c r="A19" s="14"/>
      <c r="B19" s="11" t="s">
        <v>23</v>
      </c>
      <c r="C19" s="10" t="s">
        <v>24</v>
      </c>
      <c r="D19" s="19">
        <f>D20+D21+D22</f>
        <v>1444</v>
      </c>
      <c r="E19" s="19">
        <f>E20+E21+E22</f>
        <v>394</v>
      </c>
      <c r="F19" s="14"/>
      <c r="G19" s="14"/>
      <c r="H19" s="13"/>
      <c r="I19" s="37"/>
    </row>
    <row r="20" spans="1:9">
      <c r="A20" s="20">
        <v>9</v>
      </c>
      <c r="B20" s="25" t="s">
        <v>24</v>
      </c>
      <c r="C20" s="21"/>
      <c r="D20" s="27">
        <v>856</v>
      </c>
      <c r="E20" s="23">
        <v>246</v>
      </c>
      <c r="F20" s="20">
        <v>408</v>
      </c>
      <c r="G20" s="20">
        <v>58</v>
      </c>
      <c r="H20" s="23"/>
    </row>
    <row r="21" spans="1:9">
      <c r="A21" s="28">
        <v>10</v>
      </c>
      <c r="B21" s="29" t="s">
        <v>25</v>
      </c>
      <c r="C21" s="30"/>
      <c r="D21" s="22">
        <v>328</v>
      </c>
      <c r="E21" s="23">
        <v>89</v>
      </c>
      <c r="F21" s="20">
        <v>421</v>
      </c>
      <c r="G21" s="20">
        <v>71</v>
      </c>
      <c r="H21" s="23">
        <v>13</v>
      </c>
    </row>
    <row r="22" spans="1:9">
      <c r="A22" s="28">
        <v>11</v>
      </c>
      <c r="B22" s="29" t="s">
        <v>26</v>
      </c>
      <c r="C22" s="30"/>
      <c r="D22" s="22">
        <v>260</v>
      </c>
      <c r="E22" s="23">
        <v>59</v>
      </c>
      <c r="F22" s="20">
        <v>446</v>
      </c>
      <c r="G22" s="20">
        <v>96</v>
      </c>
      <c r="H22" s="23">
        <v>35</v>
      </c>
    </row>
    <row r="23" spans="1:9">
      <c r="A23" s="14"/>
      <c r="B23" s="11" t="s">
        <v>27</v>
      </c>
      <c r="C23" s="10" t="s">
        <v>28</v>
      </c>
      <c r="D23" s="26">
        <f t="shared" ref="D23:E23" si="3">D24+D25</f>
        <v>331</v>
      </c>
      <c r="E23" s="12">
        <f t="shared" si="3"/>
        <v>75</v>
      </c>
      <c r="F23" s="14"/>
      <c r="G23" s="14"/>
      <c r="H23" s="13"/>
      <c r="I23" s="37"/>
    </row>
    <row r="24" spans="1:9">
      <c r="A24" s="20">
        <v>12</v>
      </c>
      <c r="B24" s="25" t="s">
        <v>28</v>
      </c>
      <c r="C24" s="21"/>
      <c r="D24" s="22">
        <v>212</v>
      </c>
      <c r="E24" s="23">
        <v>54</v>
      </c>
      <c r="F24" s="20">
        <v>550</v>
      </c>
      <c r="G24" s="20">
        <v>150</v>
      </c>
      <c r="H24" s="23"/>
    </row>
    <row r="25" spans="1:9">
      <c r="A25" s="20">
        <v>13</v>
      </c>
      <c r="B25" s="25" t="s">
        <v>29</v>
      </c>
      <c r="C25" s="21"/>
      <c r="D25" s="22">
        <v>119</v>
      </c>
      <c r="E25" s="23">
        <v>21</v>
      </c>
      <c r="F25" s="20">
        <v>525</v>
      </c>
      <c r="G25" s="20">
        <v>125</v>
      </c>
      <c r="H25" s="23">
        <v>25</v>
      </c>
    </row>
    <row r="26" spans="1:9">
      <c r="A26" s="31"/>
      <c r="B26" s="32" t="s">
        <v>30</v>
      </c>
      <c r="C26" s="33" t="s">
        <v>31</v>
      </c>
      <c r="D26" s="26">
        <f t="shared" ref="D26:E26" si="4">D27+D28</f>
        <v>276</v>
      </c>
      <c r="E26" s="12">
        <f t="shared" si="4"/>
        <v>74</v>
      </c>
      <c r="F26" s="14"/>
      <c r="G26" s="14"/>
      <c r="H26" s="13"/>
      <c r="I26" s="37"/>
    </row>
    <row r="27" spans="1:9">
      <c r="A27" s="20">
        <v>14</v>
      </c>
      <c r="B27" s="25" t="s">
        <v>31</v>
      </c>
      <c r="C27" s="21"/>
      <c r="D27" s="22">
        <v>220</v>
      </c>
      <c r="E27" s="23">
        <v>50</v>
      </c>
      <c r="F27" s="20">
        <v>413</v>
      </c>
      <c r="G27" s="20">
        <v>60</v>
      </c>
      <c r="H27" s="23"/>
    </row>
    <row r="28" spans="1:9">
      <c r="A28" s="28">
        <v>15</v>
      </c>
      <c r="B28" s="29" t="s">
        <v>32</v>
      </c>
      <c r="C28" s="30"/>
      <c r="D28" s="22">
        <v>56</v>
      </c>
      <c r="E28" s="23">
        <v>24</v>
      </c>
      <c r="F28" s="20">
        <v>448</v>
      </c>
      <c r="G28" s="20">
        <v>104</v>
      </c>
      <c r="H28" s="23">
        <v>35</v>
      </c>
    </row>
    <row r="29" spans="1:9">
      <c r="A29" s="14"/>
      <c r="B29" s="11" t="s">
        <v>33</v>
      </c>
      <c r="C29" s="10" t="s">
        <v>34</v>
      </c>
      <c r="D29" s="26">
        <f>D30</f>
        <v>96</v>
      </c>
      <c r="E29" s="12">
        <f>E30</f>
        <v>32</v>
      </c>
      <c r="F29" s="14"/>
      <c r="G29" s="14"/>
      <c r="H29" s="13"/>
      <c r="I29" s="37"/>
    </row>
    <row r="30" spans="1:9">
      <c r="A30" s="28">
        <v>16</v>
      </c>
      <c r="B30" s="29" t="s">
        <v>34</v>
      </c>
      <c r="C30" s="30"/>
      <c r="D30" s="22">
        <v>96</v>
      </c>
      <c r="E30" s="23">
        <v>32</v>
      </c>
      <c r="F30" s="20">
        <v>505</v>
      </c>
      <c r="G30" s="20">
        <v>120</v>
      </c>
      <c r="H30" s="23"/>
    </row>
    <row r="31" spans="1:9">
      <c r="A31" s="31"/>
      <c r="B31" s="32" t="s">
        <v>35</v>
      </c>
      <c r="C31" s="33" t="s">
        <v>36</v>
      </c>
      <c r="D31" s="26">
        <f>D32+D33</f>
        <v>522</v>
      </c>
      <c r="E31" s="26">
        <f>E32+E33</f>
        <v>148</v>
      </c>
      <c r="F31" s="14"/>
      <c r="G31" s="14"/>
      <c r="H31" s="13"/>
      <c r="I31" s="37"/>
    </row>
    <row r="32" spans="1:9">
      <c r="A32" s="20">
        <v>17</v>
      </c>
      <c r="B32" s="25" t="s">
        <v>36</v>
      </c>
      <c r="C32" s="21"/>
      <c r="D32" s="22">
        <v>325</v>
      </c>
      <c r="E32" s="23">
        <v>91</v>
      </c>
      <c r="F32" s="20">
        <v>400</v>
      </c>
      <c r="G32" s="20">
        <v>50</v>
      </c>
      <c r="H32" s="23"/>
    </row>
    <row r="33" spans="1:9">
      <c r="A33" s="28">
        <v>18</v>
      </c>
      <c r="B33" s="29" t="s">
        <v>37</v>
      </c>
      <c r="C33" s="30"/>
      <c r="D33" s="22">
        <v>197</v>
      </c>
      <c r="E33" s="23">
        <v>57</v>
      </c>
      <c r="F33" s="20">
        <v>420</v>
      </c>
      <c r="G33" s="20">
        <v>70</v>
      </c>
      <c r="H33" s="23">
        <v>20</v>
      </c>
    </row>
    <row r="34" spans="1:9">
      <c r="A34" s="31"/>
      <c r="B34" s="32" t="s">
        <v>38</v>
      </c>
      <c r="C34" s="33" t="s">
        <v>39</v>
      </c>
      <c r="D34" s="26">
        <f t="shared" ref="D34:E34" si="5">D35+D36+D37</f>
        <v>1160</v>
      </c>
      <c r="E34" s="12">
        <f t="shared" si="5"/>
        <v>253</v>
      </c>
      <c r="F34" s="14"/>
      <c r="G34" s="14"/>
      <c r="H34" s="13"/>
    </row>
    <row r="35" spans="1:9">
      <c r="A35" s="20">
        <v>19</v>
      </c>
      <c r="B35" s="25" t="s">
        <v>39</v>
      </c>
      <c r="C35" s="21"/>
      <c r="D35" s="22">
        <v>789</v>
      </c>
      <c r="E35" s="23">
        <v>169</v>
      </c>
      <c r="F35" s="20">
        <v>530</v>
      </c>
      <c r="G35" s="20">
        <v>190</v>
      </c>
      <c r="H35" s="23"/>
    </row>
    <row r="36" spans="1:9">
      <c r="A36" s="20">
        <v>20</v>
      </c>
      <c r="B36" s="25" t="s">
        <v>40</v>
      </c>
      <c r="C36" s="21"/>
      <c r="D36" s="22">
        <v>223</v>
      </c>
      <c r="E36" s="23">
        <v>48</v>
      </c>
      <c r="F36" s="20">
        <v>525</v>
      </c>
      <c r="G36" s="20">
        <v>197</v>
      </c>
      <c r="H36" s="23">
        <v>5</v>
      </c>
    </row>
    <row r="37" spans="1:9">
      <c r="A37" s="20">
        <v>21</v>
      </c>
      <c r="B37" s="25" t="s">
        <v>41</v>
      </c>
      <c r="C37" s="21"/>
      <c r="D37" s="22">
        <v>148</v>
      </c>
      <c r="E37" s="23">
        <v>36</v>
      </c>
      <c r="F37" s="20">
        <v>537</v>
      </c>
      <c r="G37" s="20">
        <v>225</v>
      </c>
      <c r="H37" s="23">
        <v>18</v>
      </c>
    </row>
    <row r="38" spans="1:9">
      <c r="A38" s="31"/>
      <c r="B38" s="32" t="s">
        <v>42</v>
      </c>
      <c r="C38" s="33" t="s">
        <v>43</v>
      </c>
      <c r="D38" s="19">
        <f t="shared" ref="D38:E38" si="6">D39+D40</f>
        <v>711</v>
      </c>
      <c r="E38" s="12">
        <f t="shared" si="6"/>
        <v>201</v>
      </c>
      <c r="F38" s="14"/>
      <c r="G38" s="14"/>
      <c r="H38" s="13"/>
      <c r="I38" s="37"/>
    </row>
    <row r="39" spans="1:9">
      <c r="A39" s="20">
        <v>22</v>
      </c>
      <c r="B39" s="25" t="s">
        <v>43</v>
      </c>
      <c r="C39" s="21"/>
      <c r="D39" s="22">
        <v>356</v>
      </c>
      <c r="E39" s="23">
        <v>101</v>
      </c>
      <c r="F39" s="20">
        <v>368</v>
      </c>
      <c r="G39" s="20">
        <v>18</v>
      </c>
      <c r="H39" s="23"/>
    </row>
    <row r="40" spans="1:9">
      <c r="A40" s="28">
        <v>23</v>
      </c>
      <c r="B40" s="29" t="s">
        <v>44</v>
      </c>
      <c r="C40" s="30"/>
      <c r="D40" s="22">
        <v>355</v>
      </c>
      <c r="E40" s="23">
        <v>100</v>
      </c>
      <c r="F40" s="20">
        <v>387</v>
      </c>
      <c r="G40" s="20">
        <v>37</v>
      </c>
      <c r="H40" s="23">
        <v>19</v>
      </c>
    </row>
    <row r="41" customHeight="1" spans="1:9">
      <c r="A41" s="14"/>
      <c r="B41" s="11" t="s">
        <v>45</v>
      </c>
      <c r="C41" s="10" t="s">
        <v>46</v>
      </c>
      <c r="D41" s="19">
        <f>D42</f>
        <v>5672</v>
      </c>
      <c r="E41" s="19">
        <f>E42</f>
        <v>1893</v>
      </c>
      <c r="F41" s="14"/>
      <c r="G41" s="14"/>
      <c r="H41" s="13"/>
      <c r="I41" s="37"/>
    </row>
    <row r="42" spans="1:9">
      <c r="A42" s="20">
        <v>24</v>
      </c>
      <c r="B42" s="25" t="s">
        <v>46</v>
      </c>
      <c r="C42" s="21"/>
      <c r="D42" s="27">
        <v>5672</v>
      </c>
      <c r="E42" s="23">
        <v>1893</v>
      </c>
      <c r="F42" s="20">
        <v>350</v>
      </c>
      <c r="G42" s="20"/>
      <c r="H42" s="23"/>
    </row>
    <row r="43" customHeight="1" spans="1:9">
      <c r="A43" s="20"/>
      <c r="B43" s="34" t="s">
        <v>47</v>
      </c>
      <c r="C43" s="35"/>
      <c r="D43" s="19">
        <f>D41+D38+D34+D31+D29+D26+D23+D19+D16+D12+D8</f>
        <v>12058</v>
      </c>
      <c r="E43" s="36">
        <f>E8+E12+E16+E19+E23+E26+E29+E31+E34+E38+E41</f>
        <v>3658</v>
      </c>
      <c r="F43" s="20"/>
      <c r="G43" s="20"/>
      <c r="H43" s="23"/>
    </row>
    <row r="44" spans="1:9">
      <c r="A44" s="42"/>
      <c r="B44" s="43"/>
      <c r="C44" s="44"/>
      <c r="D44" s="45"/>
      <c r="E44" s="46"/>
      <c r="F44" s="42"/>
      <c r="G44" s="42"/>
      <c r="H44" s="46"/>
    </row>
    <row r="45" ht="15.75" spans="1:9">
      <c r="A45" s="47"/>
      <c r="B45" s="47"/>
      <c r="C45" s="47"/>
      <c r="D45" s="47"/>
      <c r="E45" s="47"/>
      <c r="F45" s="47"/>
      <c r="G45" s="47"/>
      <c r="H45" s="47"/>
    </row>
  </sheetData>
  <mergeCells count="11">
    <mergeCell ref="A1:H1"/>
    <mergeCell ref="A2:H2"/>
    <mergeCell ref="A3:H3"/>
    <mergeCell ref="F5:H5"/>
    <mergeCell ref="B43:C43"/>
    <mergeCell ref="A45:H45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scale="85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3"/>
  <sheetViews>
    <sheetView topLeftCell="A20" workbookViewId="0">
      <selection activeCell="A1" sqref="A1:H43"/>
    </sheetView>
  </sheetViews>
  <sheetFormatPr defaultColWidth="9.14285714285714" defaultRowHeight="15"/>
  <cols>
    <col min="1" max="1" width="6" customWidth="1"/>
    <col min="2" max="2" width="16.2857142857143" customWidth="1"/>
    <col min="3" max="3" width="14.1428571428571" customWidth="1"/>
    <col min="4" max="5" width="13.8571428571429" customWidth="1"/>
    <col min="6" max="6" width="11.8571428571429" customWidth="1"/>
    <col min="7" max="7" width="11.4285714285714" customWidth="1"/>
    <col min="8" max="8" width="11.5714285714286" customWidth="1"/>
  </cols>
  <sheetData>
    <row r="1" ht="15.75" spans="1:9">
      <c r="A1" s="1" t="s">
        <v>0</v>
      </c>
      <c r="B1" s="1"/>
      <c r="C1" s="1"/>
      <c r="D1" s="1"/>
      <c r="E1" s="1"/>
      <c r="F1" s="1"/>
      <c r="G1" s="1"/>
      <c r="H1" s="1"/>
    </row>
    <row r="2" ht="15.75" spans="1:9">
      <c r="A2" s="1" t="s">
        <v>1</v>
      </c>
      <c r="B2" s="1"/>
      <c r="C2" s="1"/>
      <c r="D2" s="1"/>
      <c r="E2" s="1"/>
      <c r="F2" s="1"/>
      <c r="G2" s="1"/>
      <c r="H2" s="1"/>
    </row>
    <row r="3" ht="15.75" spans="1:9">
      <c r="A3" s="1" t="s">
        <v>48</v>
      </c>
      <c r="B3" s="1"/>
      <c r="C3" s="1"/>
      <c r="D3" s="1"/>
      <c r="E3" s="1"/>
      <c r="F3" s="1"/>
      <c r="G3" s="1"/>
      <c r="H3" s="1"/>
    </row>
    <row r="4" spans="1:9">
      <c r="A4" s="2"/>
      <c r="B4" s="2"/>
      <c r="C4" s="2"/>
      <c r="D4" s="2"/>
      <c r="E4" s="2"/>
      <c r="F4" s="2"/>
      <c r="G4" s="2"/>
      <c r="H4" s="2"/>
    </row>
    <row r="5" spans="1:9">
      <c r="A5" s="3" t="s">
        <v>3</v>
      </c>
      <c r="B5" s="3" t="s">
        <v>4</v>
      </c>
      <c r="C5" s="3" t="s">
        <v>5</v>
      </c>
      <c r="D5" s="4" t="s">
        <v>6</v>
      </c>
      <c r="E5" s="4" t="s">
        <v>49</v>
      </c>
      <c r="F5" s="5" t="s">
        <v>8</v>
      </c>
      <c r="G5" s="5"/>
      <c r="H5" s="5"/>
    </row>
    <row r="6" ht="36" spans="1:9">
      <c r="A6" s="3"/>
      <c r="B6" s="3"/>
      <c r="C6" s="3"/>
      <c r="D6" s="6"/>
      <c r="E6" s="7"/>
      <c r="F6" s="8" t="s">
        <v>9</v>
      </c>
      <c r="G6" s="8" t="s">
        <v>10</v>
      </c>
      <c r="H6" s="8" t="s">
        <v>11</v>
      </c>
    </row>
    <row r="7" spans="1:9">
      <c r="A7" s="9">
        <v>1</v>
      </c>
      <c r="B7" s="9">
        <v>2</v>
      </c>
      <c r="C7" s="9">
        <v>3</v>
      </c>
      <c r="D7" s="9">
        <v>4</v>
      </c>
      <c r="E7" s="9">
        <v>5</v>
      </c>
      <c r="F7" s="9">
        <v>6</v>
      </c>
      <c r="G7" s="9">
        <v>7</v>
      </c>
      <c r="H7" s="9">
        <v>8</v>
      </c>
    </row>
    <row r="8" spans="1:9">
      <c r="A8" s="10"/>
      <c r="B8" s="11" t="s">
        <v>12</v>
      </c>
      <c r="C8" s="10" t="s">
        <v>13</v>
      </c>
      <c r="D8" s="12">
        <f>D9+D10+D11</f>
        <v>795</v>
      </c>
      <c r="E8" s="12">
        <f>E9+E10+E11</f>
        <v>226</v>
      </c>
      <c r="F8" s="13"/>
      <c r="G8" s="14"/>
      <c r="H8" s="13"/>
      <c r="I8" s="38"/>
    </row>
    <row r="9" spans="1:9">
      <c r="A9" s="15">
        <v>1</v>
      </c>
      <c r="B9" s="16" t="s">
        <v>13</v>
      </c>
      <c r="C9" s="16"/>
      <c r="D9" s="17">
        <v>408</v>
      </c>
      <c r="E9" s="17">
        <v>116</v>
      </c>
      <c r="F9" s="17">
        <v>378</v>
      </c>
      <c r="G9" s="15">
        <v>28</v>
      </c>
      <c r="H9" s="17"/>
      <c r="I9" s="38"/>
    </row>
    <row r="10" spans="1:9">
      <c r="A10" s="15">
        <v>2</v>
      </c>
      <c r="B10" s="18" t="s">
        <v>14</v>
      </c>
      <c r="C10" s="16"/>
      <c r="D10" s="15">
        <v>154</v>
      </c>
      <c r="E10" s="17">
        <v>34</v>
      </c>
      <c r="F10" s="15">
        <v>390</v>
      </c>
      <c r="G10" s="15">
        <v>40</v>
      </c>
      <c r="H10" s="17">
        <v>12</v>
      </c>
      <c r="I10" s="38"/>
    </row>
    <row r="11" spans="1:9">
      <c r="A11" s="15">
        <v>3</v>
      </c>
      <c r="B11" s="18" t="s">
        <v>15</v>
      </c>
      <c r="C11" s="18"/>
      <c r="D11" s="15">
        <v>233</v>
      </c>
      <c r="E11" s="17">
        <v>76</v>
      </c>
      <c r="F11" s="15">
        <v>410</v>
      </c>
      <c r="G11" s="15">
        <v>60</v>
      </c>
      <c r="H11" s="17">
        <v>32</v>
      </c>
      <c r="I11" s="38"/>
    </row>
    <row r="12" spans="1:9">
      <c r="A12" s="14"/>
      <c r="B12" s="11" t="s">
        <v>16</v>
      </c>
      <c r="C12" s="10" t="s">
        <v>17</v>
      </c>
      <c r="D12" s="19">
        <f>D13+D14+D15</f>
        <v>863</v>
      </c>
      <c r="E12" s="12">
        <f>E13+E14+E15</f>
        <v>303</v>
      </c>
      <c r="F12" s="14"/>
      <c r="G12" s="14"/>
      <c r="H12" s="13"/>
      <c r="I12" s="38"/>
    </row>
    <row r="13" spans="1:9">
      <c r="A13" s="20">
        <v>4</v>
      </c>
      <c r="B13" s="21" t="s">
        <v>17</v>
      </c>
      <c r="C13" s="21"/>
      <c r="D13" s="22">
        <v>488</v>
      </c>
      <c r="E13" s="23">
        <v>158</v>
      </c>
      <c r="F13" s="23">
        <v>395</v>
      </c>
      <c r="G13" s="23">
        <v>45</v>
      </c>
      <c r="H13" s="24"/>
      <c r="I13" s="38"/>
    </row>
    <row r="14" spans="1:9">
      <c r="A14" s="20">
        <v>5</v>
      </c>
      <c r="B14" s="25" t="s">
        <v>18</v>
      </c>
      <c r="C14" s="21"/>
      <c r="D14" s="22">
        <v>84</v>
      </c>
      <c r="E14" s="23">
        <v>33</v>
      </c>
      <c r="F14" s="20">
        <v>403</v>
      </c>
      <c r="G14" s="20">
        <v>53</v>
      </c>
      <c r="H14" s="23">
        <v>8</v>
      </c>
      <c r="I14" s="38"/>
    </row>
    <row r="15" spans="1:9">
      <c r="A15" s="20">
        <v>6</v>
      </c>
      <c r="B15" s="25" t="s">
        <v>19</v>
      </c>
      <c r="C15" s="21"/>
      <c r="D15" s="22">
        <v>291</v>
      </c>
      <c r="E15" s="23">
        <v>112</v>
      </c>
      <c r="F15" s="20">
        <v>368</v>
      </c>
      <c r="G15" s="20">
        <v>18</v>
      </c>
      <c r="H15" s="23">
        <v>27</v>
      </c>
      <c r="I15" s="38"/>
    </row>
    <row r="16" spans="1:9">
      <c r="A16" s="14"/>
      <c r="B16" s="11" t="s">
        <v>20</v>
      </c>
      <c r="C16" s="10" t="s">
        <v>21</v>
      </c>
      <c r="D16" s="26">
        <f>D17+D18</f>
        <v>193</v>
      </c>
      <c r="E16" s="12">
        <f>E17+E18</f>
        <v>66</v>
      </c>
      <c r="F16" s="14"/>
      <c r="G16" s="14"/>
      <c r="H16" s="13"/>
      <c r="I16" s="38"/>
    </row>
    <row r="17" spans="1:9">
      <c r="A17" s="20">
        <v>7</v>
      </c>
      <c r="B17" s="25" t="s">
        <v>21</v>
      </c>
      <c r="C17" s="21"/>
      <c r="D17" s="22">
        <v>13</v>
      </c>
      <c r="E17" s="23">
        <v>7</v>
      </c>
      <c r="F17" s="23">
        <v>495</v>
      </c>
      <c r="G17" s="23">
        <v>115</v>
      </c>
      <c r="H17" s="23"/>
      <c r="I17" s="38"/>
    </row>
    <row r="18" spans="1:9">
      <c r="A18" s="20">
        <v>8</v>
      </c>
      <c r="B18" s="25" t="s">
        <v>22</v>
      </c>
      <c r="C18" s="21"/>
      <c r="D18" s="22">
        <v>180</v>
      </c>
      <c r="E18" s="23">
        <v>59</v>
      </c>
      <c r="F18" s="20">
        <v>480</v>
      </c>
      <c r="G18" s="20">
        <v>100</v>
      </c>
      <c r="H18" s="23">
        <v>15</v>
      </c>
      <c r="I18" s="38"/>
    </row>
    <row r="19" spans="1:9">
      <c r="A19" s="14"/>
      <c r="B19" s="11" t="s">
        <v>23</v>
      </c>
      <c r="C19" s="10" t="s">
        <v>24</v>
      </c>
      <c r="D19" s="19">
        <f>D20+D21+D22</f>
        <v>1434</v>
      </c>
      <c r="E19" s="19">
        <f>E20+E21+E22</f>
        <v>394</v>
      </c>
      <c r="F19" s="14"/>
      <c r="G19" s="14"/>
      <c r="H19" s="13"/>
      <c r="I19" s="38"/>
    </row>
    <row r="20" spans="1:9">
      <c r="A20" s="20">
        <v>9</v>
      </c>
      <c r="B20" s="25" t="s">
        <v>24</v>
      </c>
      <c r="C20" s="21"/>
      <c r="D20" s="27">
        <v>846</v>
      </c>
      <c r="E20" s="23">
        <v>246</v>
      </c>
      <c r="F20" s="20">
        <v>408</v>
      </c>
      <c r="G20" s="20">
        <v>58</v>
      </c>
      <c r="H20" s="23"/>
      <c r="I20" s="38"/>
    </row>
    <row r="21" spans="1:9">
      <c r="A21" s="28">
        <v>10</v>
      </c>
      <c r="B21" s="29" t="s">
        <v>25</v>
      </c>
      <c r="C21" s="30"/>
      <c r="D21" s="22">
        <v>328</v>
      </c>
      <c r="E21" s="23">
        <v>89</v>
      </c>
      <c r="F21" s="20">
        <v>421</v>
      </c>
      <c r="G21" s="20">
        <v>71</v>
      </c>
      <c r="H21" s="23">
        <v>13</v>
      </c>
      <c r="I21" s="38"/>
    </row>
    <row r="22" spans="1:9">
      <c r="A22" s="28">
        <v>11</v>
      </c>
      <c r="B22" s="29" t="s">
        <v>26</v>
      </c>
      <c r="C22" s="30"/>
      <c r="D22" s="22">
        <v>260</v>
      </c>
      <c r="E22" s="23">
        <v>59</v>
      </c>
      <c r="F22" s="20">
        <v>446</v>
      </c>
      <c r="G22" s="20">
        <v>96</v>
      </c>
      <c r="H22" s="23">
        <v>35</v>
      </c>
      <c r="I22" s="38"/>
    </row>
    <row r="23" spans="1:9">
      <c r="A23" s="14"/>
      <c r="B23" s="11" t="s">
        <v>27</v>
      </c>
      <c r="C23" s="10" t="s">
        <v>28</v>
      </c>
      <c r="D23" s="26">
        <f>D24+D25</f>
        <v>331</v>
      </c>
      <c r="E23" s="12">
        <f>E24+E25</f>
        <v>75</v>
      </c>
      <c r="F23" s="14"/>
      <c r="G23" s="14"/>
      <c r="H23" s="13"/>
      <c r="I23" s="38"/>
    </row>
    <row r="24" spans="1:9">
      <c r="A24" s="20">
        <v>12</v>
      </c>
      <c r="B24" s="25" t="s">
        <v>28</v>
      </c>
      <c r="C24" s="21"/>
      <c r="D24" s="22">
        <v>212</v>
      </c>
      <c r="E24" s="23">
        <v>54</v>
      </c>
      <c r="F24" s="20">
        <v>550</v>
      </c>
      <c r="G24" s="20">
        <v>150</v>
      </c>
      <c r="H24" s="23"/>
      <c r="I24" s="38"/>
    </row>
    <row r="25" spans="1:9">
      <c r="A25" s="20">
        <v>13</v>
      </c>
      <c r="B25" s="25" t="s">
        <v>29</v>
      </c>
      <c r="C25" s="21"/>
      <c r="D25" s="22">
        <v>119</v>
      </c>
      <c r="E25" s="23">
        <v>21</v>
      </c>
      <c r="F25" s="20">
        <v>525</v>
      </c>
      <c r="G25" s="20">
        <v>125</v>
      </c>
      <c r="H25" s="23">
        <v>25</v>
      </c>
      <c r="I25" s="38"/>
    </row>
    <row r="26" spans="1:9">
      <c r="A26" s="31"/>
      <c r="B26" s="32" t="s">
        <v>30</v>
      </c>
      <c r="C26" s="33" t="s">
        <v>31</v>
      </c>
      <c r="D26" s="26">
        <f>D27+D28</f>
        <v>276</v>
      </c>
      <c r="E26" s="12">
        <f>E27+E28</f>
        <v>74</v>
      </c>
      <c r="F26" s="14"/>
      <c r="G26" s="14"/>
      <c r="H26" s="13"/>
      <c r="I26" s="38"/>
    </row>
    <row r="27" spans="1:9">
      <c r="A27" s="20">
        <v>14</v>
      </c>
      <c r="B27" s="25" t="s">
        <v>31</v>
      </c>
      <c r="C27" s="21"/>
      <c r="D27" s="22">
        <v>220</v>
      </c>
      <c r="E27" s="23">
        <v>50</v>
      </c>
      <c r="F27" s="20">
        <v>413</v>
      </c>
      <c r="G27" s="20">
        <v>60</v>
      </c>
      <c r="H27" s="23"/>
      <c r="I27" s="38"/>
    </row>
    <row r="28" spans="1:9">
      <c r="A28" s="28">
        <v>15</v>
      </c>
      <c r="B28" s="29" t="s">
        <v>32</v>
      </c>
      <c r="C28" s="30"/>
      <c r="D28" s="22">
        <v>56</v>
      </c>
      <c r="E28" s="23">
        <v>24</v>
      </c>
      <c r="F28" s="20">
        <v>448</v>
      </c>
      <c r="G28" s="20">
        <v>104</v>
      </c>
      <c r="H28" s="23">
        <v>35</v>
      </c>
      <c r="I28" s="38"/>
    </row>
    <row r="29" spans="1:9">
      <c r="A29" s="14"/>
      <c r="B29" s="11" t="s">
        <v>33</v>
      </c>
      <c r="C29" s="10" t="s">
        <v>34</v>
      </c>
      <c r="D29" s="26">
        <f>D30</f>
        <v>87</v>
      </c>
      <c r="E29" s="12">
        <f>E30</f>
        <v>34</v>
      </c>
      <c r="F29" s="14"/>
      <c r="G29" s="14"/>
      <c r="H29" s="13"/>
      <c r="I29" s="38"/>
    </row>
    <row r="30" spans="1:9">
      <c r="A30" s="28">
        <v>16</v>
      </c>
      <c r="B30" s="29" t="s">
        <v>34</v>
      </c>
      <c r="C30" s="30"/>
      <c r="D30" s="22">
        <v>87</v>
      </c>
      <c r="E30" s="23">
        <v>34</v>
      </c>
      <c r="F30" s="20">
        <v>505</v>
      </c>
      <c r="G30" s="20">
        <v>120</v>
      </c>
      <c r="H30" s="23"/>
      <c r="I30" s="38"/>
    </row>
    <row r="31" spans="1:9">
      <c r="A31" s="31"/>
      <c r="B31" s="32" t="s">
        <v>35</v>
      </c>
      <c r="C31" s="33" t="s">
        <v>36</v>
      </c>
      <c r="D31" s="26">
        <f>D32+D33</f>
        <v>523</v>
      </c>
      <c r="E31" s="26">
        <f>E32+E33</f>
        <v>148</v>
      </c>
      <c r="F31" s="14"/>
      <c r="G31" s="14"/>
      <c r="H31" s="13"/>
      <c r="I31" s="38"/>
    </row>
    <row r="32" spans="1:9">
      <c r="A32" s="20">
        <v>17</v>
      </c>
      <c r="B32" s="25" t="s">
        <v>36</v>
      </c>
      <c r="C32" s="21"/>
      <c r="D32" s="22">
        <v>326</v>
      </c>
      <c r="E32" s="23">
        <v>91</v>
      </c>
      <c r="F32" s="20">
        <v>400</v>
      </c>
      <c r="G32" s="20">
        <v>50</v>
      </c>
      <c r="H32" s="23"/>
      <c r="I32" s="38"/>
    </row>
    <row r="33" spans="1:9">
      <c r="A33" s="28">
        <v>18</v>
      </c>
      <c r="B33" s="29" t="s">
        <v>37</v>
      </c>
      <c r="C33" s="30"/>
      <c r="D33" s="22">
        <v>197</v>
      </c>
      <c r="E33" s="23">
        <v>57</v>
      </c>
      <c r="F33" s="20">
        <v>420</v>
      </c>
      <c r="G33" s="20">
        <v>70</v>
      </c>
      <c r="H33" s="23">
        <v>20</v>
      </c>
      <c r="I33" s="38"/>
    </row>
    <row r="34" spans="1:9">
      <c r="A34" s="31"/>
      <c r="B34" s="32" t="s">
        <v>38</v>
      </c>
      <c r="C34" s="33" t="s">
        <v>39</v>
      </c>
      <c r="D34" s="26">
        <f>D35+D36+D37</f>
        <v>1160</v>
      </c>
      <c r="E34" s="12">
        <f>E35+E36+E37</f>
        <v>253</v>
      </c>
      <c r="F34" s="14"/>
      <c r="G34" s="14"/>
      <c r="H34" s="13"/>
      <c r="I34" s="38"/>
    </row>
    <row r="35" spans="1:9">
      <c r="A35" s="20">
        <v>19</v>
      </c>
      <c r="B35" s="25" t="s">
        <v>39</v>
      </c>
      <c r="C35" s="21"/>
      <c r="D35" s="22">
        <v>789</v>
      </c>
      <c r="E35" s="23">
        <v>169</v>
      </c>
      <c r="F35" s="20">
        <v>530</v>
      </c>
      <c r="G35" s="20">
        <v>190</v>
      </c>
      <c r="H35" s="23"/>
      <c r="I35" s="38"/>
    </row>
    <row r="36" spans="1:9">
      <c r="A36" s="20">
        <v>20</v>
      </c>
      <c r="B36" s="25" t="s">
        <v>40</v>
      </c>
      <c r="C36" s="21"/>
      <c r="D36" s="22">
        <v>223</v>
      </c>
      <c r="E36" s="23">
        <v>48</v>
      </c>
      <c r="F36" s="20">
        <v>525</v>
      </c>
      <c r="G36" s="20">
        <v>197</v>
      </c>
      <c r="H36" s="23">
        <v>5</v>
      </c>
      <c r="I36" s="38"/>
    </row>
    <row r="37" spans="1:9">
      <c r="A37" s="20">
        <v>21</v>
      </c>
      <c r="B37" s="25" t="s">
        <v>41</v>
      </c>
      <c r="C37" s="21"/>
      <c r="D37" s="22">
        <v>148</v>
      </c>
      <c r="E37" s="23">
        <v>36</v>
      </c>
      <c r="F37" s="20">
        <v>537</v>
      </c>
      <c r="G37" s="20">
        <v>225</v>
      </c>
      <c r="H37" s="23">
        <v>18</v>
      </c>
      <c r="I37" s="38"/>
    </row>
    <row r="38" spans="1:9">
      <c r="A38" s="31"/>
      <c r="B38" s="32" t="s">
        <v>42</v>
      </c>
      <c r="C38" s="33" t="s">
        <v>43</v>
      </c>
      <c r="D38" s="19">
        <f>D39+D40</f>
        <v>711</v>
      </c>
      <c r="E38" s="12">
        <f>E39+E40</f>
        <v>201</v>
      </c>
      <c r="F38" s="14"/>
      <c r="G38" s="14"/>
      <c r="H38" s="13"/>
      <c r="I38" s="38"/>
    </row>
    <row r="39" spans="1:9">
      <c r="A39" s="20">
        <v>22</v>
      </c>
      <c r="B39" s="25" t="s">
        <v>43</v>
      </c>
      <c r="C39" s="21"/>
      <c r="D39" s="22">
        <v>356</v>
      </c>
      <c r="E39" s="23">
        <v>101</v>
      </c>
      <c r="F39" s="20">
        <v>368</v>
      </c>
      <c r="G39" s="20">
        <v>18</v>
      </c>
      <c r="H39" s="23"/>
      <c r="I39" s="38"/>
    </row>
    <row r="40" spans="1:9">
      <c r="A40" s="28">
        <v>23</v>
      </c>
      <c r="B40" s="29" t="s">
        <v>44</v>
      </c>
      <c r="C40" s="30"/>
      <c r="D40" s="22">
        <v>355</v>
      </c>
      <c r="E40" s="23">
        <v>100</v>
      </c>
      <c r="F40" s="20">
        <v>387</v>
      </c>
      <c r="G40" s="20">
        <v>37</v>
      </c>
      <c r="H40" s="23">
        <v>19</v>
      </c>
      <c r="I40" s="38"/>
    </row>
    <row r="41" spans="1:9">
      <c r="A41" s="14"/>
      <c r="B41" s="11" t="s">
        <v>45</v>
      </c>
      <c r="C41" s="10" t="s">
        <v>46</v>
      </c>
      <c r="D41" s="19">
        <f>D42</f>
        <v>5672</v>
      </c>
      <c r="E41" s="19">
        <f>E42</f>
        <v>1893</v>
      </c>
      <c r="F41" s="14"/>
      <c r="G41" s="14"/>
      <c r="H41" s="13"/>
      <c r="I41" s="38"/>
    </row>
    <row r="42" spans="1:9">
      <c r="A42" s="20">
        <v>24</v>
      </c>
      <c r="B42" s="25" t="s">
        <v>46</v>
      </c>
      <c r="C42" s="21"/>
      <c r="D42" s="27">
        <v>5672</v>
      </c>
      <c r="E42" s="23">
        <v>1893</v>
      </c>
      <c r="F42" s="20">
        <v>350</v>
      </c>
      <c r="G42" s="20"/>
      <c r="H42" s="23"/>
    </row>
    <row r="43" spans="1:9">
      <c r="A43" s="20"/>
      <c r="B43" s="34" t="s">
        <v>47</v>
      </c>
      <c r="C43" s="35"/>
      <c r="D43" s="19">
        <f>D41+D38+D34+D31+D29+D26+D23+D19+D16+D12+D8</f>
        <v>12045</v>
      </c>
      <c r="E43" s="36">
        <f>E8+E12+E16+E19+E23+E26+E29+E31+E34+E38+E41</f>
        <v>3667</v>
      </c>
      <c r="F43" s="20"/>
      <c r="G43" s="20"/>
      <c r="H43" s="23"/>
    </row>
  </sheetData>
  <mergeCells count="10">
    <mergeCell ref="A1:H1"/>
    <mergeCell ref="A2:H2"/>
    <mergeCell ref="A3:H3"/>
    <mergeCell ref="F5:H5"/>
    <mergeCell ref="B43:C43"/>
    <mergeCell ref="A5:A6"/>
    <mergeCell ref="B5:B6"/>
    <mergeCell ref="C5:C6"/>
    <mergeCell ref="D5:D6"/>
    <mergeCell ref="E5:E6"/>
  </mergeCells>
  <pageMargins left="0.75" right="0.75" top="1" bottom="1" header="0.5" footer="0.5"/>
  <pageSetup paperSize="9" scale="85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3"/>
  <sheetViews>
    <sheetView zoomScale="80" zoomScaleNormal="80" topLeftCell="A13" workbookViewId="0">
      <selection activeCell="A1" sqref="A1:H43"/>
    </sheetView>
  </sheetViews>
  <sheetFormatPr defaultColWidth="9.14285714285714" defaultRowHeight="15" outlineLevelCol="7"/>
  <cols>
    <col min="1" max="1" width="6" customWidth="1"/>
    <col min="2" max="2" width="16.2857142857143" customWidth="1"/>
    <col min="3" max="3" width="14.1428571428571" customWidth="1"/>
    <col min="4" max="5" width="13.8571428571429" customWidth="1"/>
    <col min="6" max="6" width="11.8571428571429" customWidth="1"/>
    <col min="7" max="7" width="11.4285714285714" customWidth="1"/>
    <col min="8" max="8" width="11.5714285714286" customWidth="1"/>
  </cols>
  <sheetData>
    <row r="1" ht="15.75" spans="1:8">
      <c r="A1" s="1" t="s">
        <v>0</v>
      </c>
      <c r="B1" s="1"/>
      <c r="C1" s="1"/>
      <c r="D1" s="1"/>
      <c r="E1" s="1"/>
      <c r="F1" s="1"/>
      <c r="G1" s="1"/>
      <c r="H1" s="1"/>
    </row>
    <row r="2" ht="15.75" spans="1:8">
      <c r="A2" s="1" t="s">
        <v>1</v>
      </c>
      <c r="B2" s="1"/>
      <c r="C2" s="1"/>
      <c r="D2" s="1"/>
      <c r="E2" s="1"/>
      <c r="F2" s="1"/>
      <c r="G2" s="1"/>
      <c r="H2" s="1"/>
    </row>
    <row r="3" ht="15.75" spans="1:8">
      <c r="A3" s="1" t="s">
        <v>50</v>
      </c>
      <c r="B3" s="1"/>
      <c r="C3" s="1"/>
      <c r="D3" s="1"/>
      <c r="E3" s="1"/>
      <c r="F3" s="1"/>
      <c r="G3" s="1"/>
      <c r="H3" s="1"/>
    </row>
    <row r="4" spans="1:8">
      <c r="A4" s="2"/>
      <c r="B4" s="2"/>
      <c r="C4" s="2"/>
      <c r="D4" s="2"/>
      <c r="E4" s="2"/>
      <c r="F4" s="2"/>
      <c r="G4" s="2"/>
      <c r="H4" s="2"/>
    </row>
    <row r="5" spans="1:8">
      <c r="A5" s="3" t="s">
        <v>3</v>
      </c>
      <c r="B5" s="3" t="s">
        <v>4</v>
      </c>
      <c r="C5" s="3" t="s">
        <v>5</v>
      </c>
      <c r="D5" s="4" t="s">
        <v>6</v>
      </c>
      <c r="E5" s="4" t="s">
        <v>49</v>
      </c>
      <c r="F5" s="5" t="s">
        <v>8</v>
      </c>
      <c r="G5" s="5"/>
      <c r="H5" s="5"/>
    </row>
    <row r="6" ht="36" spans="1:8">
      <c r="A6" s="3"/>
      <c r="B6" s="3"/>
      <c r="C6" s="3"/>
      <c r="D6" s="6"/>
      <c r="E6" s="7"/>
      <c r="F6" s="8" t="s">
        <v>9</v>
      </c>
      <c r="G6" s="8" t="s">
        <v>10</v>
      </c>
      <c r="H6" s="8" t="s">
        <v>11</v>
      </c>
    </row>
    <row r="7" spans="1:8">
      <c r="A7" s="9">
        <v>1</v>
      </c>
      <c r="B7" s="9">
        <v>2</v>
      </c>
      <c r="C7" s="9">
        <v>3</v>
      </c>
      <c r="D7" s="9">
        <v>4</v>
      </c>
      <c r="E7" s="9">
        <v>5</v>
      </c>
      <c r="F7" s="9">
        <v>6</v>
      </c>
      <c r="G7" s="9">
        <v>7</v>
      </c>
      <c r="H7" s="9">
        <v>8</v>
      </c>
    </row>
    <row r="8" spans="1:8">
      <c r="A8" s="10"/>
      <c r="B8" s="11" t="s">
        <v>12</v>
      </c>
      <c r="C8" s="10" t="s">
        <v>13</v>
      </c>
      <c r="D8" s="12">
        <f>D9+D10+D11</f>
        <v>795</v>
      </c>
      <c r="E8" s="12">
        <f>E9+E10+E11</f>
        <v>226</v>
      </c>
      <c r="F8" s="13"/>
      <c r="G8" s="14"/>
      <c r="H8" s="13"/>
    </row>
    <row r="9" spans="1:8">
      <c r="A9" s="15">
        <v>1</v>
      </c>
      <c r="B9" s="16" t="s">
        <v>13</v>
      </c>
      <c r="C9" s="16"/>
      <c r="D9" s="17">
        <v>408</v>
      </c>
      <c r="E9" s="17">
        <v>116</v>
      </c>
      <c r="F9" s="17">
        <v>378</v>
      </c>
      <c r="G9" s="15">
        <v>28</v>
      </c>
      <c r="H9" s="17"/>
    </row>
    <row r="10" spans="1:8">
      <c r="A10" s="15">
        <v>2</v>
      </c>
      <c r="B10" s="18" t="s">
        <v>14</v>
      </c>
      <c r="C10" s="16"/>
      <c r="D10" s="15">
        <v>154</v>
      </c>
      <c r="E10" s="17">
        <v>34</v>
      </c>
      <c r="F10" s="15">
        <v>390</v>
      </c>
      <c r="G10" s="15">
        <v>40</v>
      </c>
      <c r="H10" s="17">
        <v>12</v>
      </c>
    </row>
    <row r="11" spans="1:8">
      <c r="A11" s="15">
        <v>3</v>
      </c>
      <c r="B11" s="18" t="s">
        <v>15</v>
      </c>
      <c r="C11" s="18"/>
      <c r="D11" s="15">
        <v>233</v>
      </c>
      <c r="E11" s="17">
        <v>76</v>
      </c>
      <c r="F11" s="15">
        <v>410</v>
      </c>
      <c r="G11" s="15">
        <v>60</v>
      </c>
      <c r="H11" s="17">
        <v>32</v>
      </c>
    </row>
    <row r="12" spans="1:8">
      <c r="A12" s="14"/>
      <c r="B12" s="11" t="s">
        <v>16</v>
      </c>
      <c r="C12" s="10" t="s">
        <v>17</v>
      </c>
      <c r="D12" s="19">
        <f>D13+D14+D15</f>
        <v>828</v>
      </c>
      <c r="E12" s="12">
        <f>E13+E14+E15</f>
        <v>303</v>
      </c>
      <c r="F12" s="14"/>
      <c r="G12" s="14"/>
      <c r="H12" s="13"/>
    </row>
    <row r="13" spans="1:8">
      <c r="A13" s="20">
        <v>4</v>
      </c>
      <c r="B13" s="21" t="s">
        <v>17</v>
      </c>
      <c r="C13" s="21"/>
      <c r="D13" s="22">
        <v>471</v>
      </c>
      <c r="E13" s="23">
        <v>158</v>
      </c>
      <c r="F13" s="23">
        <v>395</v>
      </c>
      <c r="G13" s="23">
        <v>45</v>
      </c>
      <c r="H13" s="24"/>
    </row>
    <row r="14" spans="1:8">
      <c r="A14" s="20">
        <v>5</v>
      </c>
      <c r="B14" s="25" t="s">
        <v>18</v>
      </c>
      <c r="C14" s="21"/>
      <c r="D14" s="22">
        <v>67</v>
      </c>
      <c r="E14" s="23">
        <v>33</v>
      </c>
      <c r="F14" s="20">
        <v>403</v>
      </c>
      <c r="G14" s="20">
        <v>53</v>
      </c>
      <c r="H14" s="23">
        <v>8</v>
      </c>
    </row>
    <row r="15" spans="1:8">
      <c r="A15" s="20">
        <v>6</v>
      </c>
      <c r="B15" s="25" t="s">
        <v>19</v>
      </c>
      <c r="C15" s="21"/>
      <c r="D15" s="22">
        <v>290</v>
      </c>
      <c r="E15" s="23">
        <v>112</v>
      </c>
      <c r="F15" s="20">
        <v>368</v>
      </c>
      <c r="G15" s="20">
        <v>18</v>
      </c>
      <c r="H15" s="23">
        <v>27</v>
      </c>
    </row>
    <row r="16" spans="1:8">
      <c r="A16" s="14"/>
      <c r="B16" s="11" t="s">
        <v>20</v>
      </c>
      <c r="C16" s="10" t="s">
        <v>21</v>
      </c>
      <c r="D16" s="26">
        <f>D17+D18</f>
        <v>189</v>
      </c>
      <c r="E16" s="12">
        <f>E17+E18</f>
        <v>66</v>
      </c>
      <c r="F16" s="14"/>
      <c r="G16" s="14"/>
      <c r="H16" s="13"/>
    </row>
    <row r="17" spans="1:8">
      <c r="A17" s="20">
        <v>7</v>
      </c>
      <c r="B17" s="25" t="s">
        <v>21</v>
      </c>
      <c r="C17" s="21"/>
      <c r="D17" s="22">
        <v>13</v>
      </c>
      <c r="E17" s="23">
        <v>7</v>
      </c>
      <c r="F17" s="23">
        <v>495</v>
      </c>
      <c r="G17" s="23">
        <v>115</v>
      </c>
      <c r="H17" s="23"/>
    </row>
    <row r="18" spans="1:8">
      <c r="A18" s="20">
        <v>8</v>
      </c>
      <c r="B18" s="25" t="s">
        <v>22</v>
      </c>
      <c r="C18" s="21"/>
      <c r="D18" s="22">
        <v>176</v>
      </c>
      <c r="E18" s="23">
        <v>59</v>
      </c>
      <c r="F18" s="20">
        <v>480</v>
      </c>
      <c r="G18" s="20">
        <v>100</v>
      </c>
      <c r="H18" s="23">
        <v>15</v>
      </c>
    </row>
    <row r="19" spans="1:8">
      <c r="A19" s="14"/>
      <c r="B19" s="11" t="s">
        <v>23</v>
      </c>
      <c r="C19" s="10" t="s">
        <v>24</v>
      </c>
      <c r="D19" s="19">
        <f>D20+D21+D22</f>
        <v>1433</v>
      </c>
      <c r="E19" s="19">
        <f>E20+E21+E22</f>
        <v>394</v>
      </c>
      <c r="F19" s="14"/>
      <c r="G19" s="14"/>
      <c r="H19" s="13"/>
    </row>
    <row r="20" spans="1:8">
      <c r="A20" s="20">
        <v>9</v>
      </c>
      <c r="B20" s="25" t="s">
        <v>24</v>
      </c>
      <c r="C20" s="21"/>
      <c r="D20" s="27">
        <v>845</v>
      </c>
      <c r="E20" s="23">
        <v>246</v>
      </c>
      <c r="F20" s="20">
        <v>408</v>
      </c>
      <c r="G20" s="20">
        <v>58</v>
      </c>
      <c r="H20" s="23"/>
    </row>
    <row r="21" spans="1:8">
      <c r="A21" s="28">
        <v>10</v>
      </c>
      <c r="B21" s="29" t="s">
        <v>25</v>
      </c>
      <c r="C21" s="30"/>
      <c r="D21" s="22">
        <v>328</v>
      </c>
      <c r="E21" s="23">
        <v>89</v>
      </c>
      <c r="F21" s="20">
        <v>421</v>
      </c>
      <c r="G21" s="20">
        <v>71</v>
      </c>
      <c r="H21" s="23">
        <v>13</v>
      </c>
    </row>
    <row r="22" spans="1:8">
      <c r="A22" s="28">
        <v>11</v>
      </c>
      <c r="B22" s="29" t="s">
        <v>26</v>
      </c>
      <c r="C22" s="30"/>
      <c r="D22" s="22">
        <v>260</v>
      </c>
      <c r="E22" s="23">
        <v>59</v>
      </c>
      <c r="F22" s="20">
        <v>446</v>
      </c>
      <c r="G22" s="20">
        <v>96</v>
      </c>
      <c r="H22" s="23">
        <v>35</v>
      </c>
    </row>
    <row r="23" spans="1:8">
      <c r="A23" s="14"/>
      <c r="B23" s="11" t="s">
        <v>27</v>
      </c>
      <c r="C23" s="10" t="s">
        <v>28</v>
      </c>
      <c r="D23" s="26">
        <f>D24+D25</f>
        <v>331</v>
      </c>
      <c r="E23" s="12">
        <f>E24+E25</f>
        <v>75</v>
      </c>
      <c r="F23" s="14"/>
      <c r="G23" s="14"/>
      <c r="H23" s="13"/>
    </row>
    <row r="24" spans="1:8">
      <c r="A24" s="20">
        <v>12</v>
      </c>
      <c r="B24" s="25" t="s">
        <v>28</v>
      </c>
      <c r="C24" s="21"/>
      <c r="D24" s="22">
        <v>212</v>
      </c>
      <c r="E24" s="23">
        <v>54</v>
      </c>
      <c r="F24" s="20">
        <v>550</v>
      </c>
      <c r="G24" s="20">
        <v>150</v>
      </c>
      <c r="H24" s="23"/>
    </row>
    <row r="25" spans="1:8">
      <c r="A25" s="20">
        <v>13</v>
      </c>
      <c r="B25" s="25" t="s">
        <v>29</v>
      </c>
      <c r="C25" s="21"/>
      <c r="D25" s="22">
        <v>119</v>
      </c>
      <c r="E25" s="23">
        <v>21</v>
      </c>
      <c r="F25" s="20">
        <v>525</v>
      </c>
      <c r="G25" s="20">
        <v>125</v>
      </c>
      <c r="H25" s="23">
        <v>25</v>
      </c>
    </row>
    <row r="26" spans="1:8">
      <c r="A26" s="31"/>
      <c r="B26" s="32" t="s">
        <v>30</v>
      </c>
      <c r="C26" s="33" t="s">
        <v>31</v>
      </c>
      <c r="D26" s="26">
        <f>D27+D28</f>
        <v>256</v>
      </c>
      <c r="E26" s="12">
        <f>E27+E28</f>
        <v>74</v>
      </c>
      <c r="F26" s="14"/>
      <c r="G26" s="14"/>
      <c r="H26" s="13"/>
    </row>
    <row r="27" spans="1:8">
      <c r="A27" s="20">
        <v>14</v>
      </c>
      <c r="B27" s="25" t="s">
        <v>31</v>
      </c>
      <c r="C27" s="21"/>
      <c r="D27" s="22">
        <v>200</v>
      </c>
      <c r="E27" s="23">
        <v>50</v>
      </c>
      <c r="F27" s="20">
        <v>413</v>
      </c>
      <c r="G27" s="20">
        <v>60</v>
      </c>
      <c r="H27" s="23"/>
    </row>
    <row r="28" spans="1:8">
      <c r="A28" s="28">
        <v>15</v>
      </c>
      <c r="B28" s="29" t="s">
        <v>32</v>
      </c>
      <c r="C28" s="30"/>
      <c r="D28" s="22">
        <v>56</v>
      </c>
      <c r="E28" s="23">
        <v>24</v>
      </c>
      <c r="F28" s="20">
        <v>448</v>
      </c>
      <c r="G28" s="20">
        <v>104</v>
      </c>
      <c r="H28" s="23">
        <v>35</v>
      </c>
    </row>
    <row r="29" spans="1:8">
      <c r="A29" s="14"/>
      <c r="B29" s="11" t="s">
        <v>33</v>
      </c>
      <c r="C29" s="10" t="s">
        <v>34</v>
      </c>
      <c r="D29" s="26">
        <f>D30</f>
        <v>87</v>
      </c>
      <c r="E29" s="12">
        <f>E30</f>
        <v>33</v>
      </c>
      <c r="F29" s="14"/>
      <c r="G29" s="14"/>
      <c r="H29" s="13"/>
    </row>
    <row r="30" spans="1:8">
      <c r="A30" s="28">
        <v>16</v>
      </c>
      <c r="B30" s="29" t="s">
        <v>34</v>
      </c>
      <c r="C30" s="30"/>
      <c r="D30" s="22">
        <v>87</v>
      </c>
      <c r="E30" s="23">
        <v>33</v>
      </c>
      <c r="F30" s="20">
        <v>505</v>
      </c>
      <c r="G30" s="20">
        <v>120</v>
      </c>
      <c r="H30" s="23"/>
    </row>
    <row r="31" spans="1:8">
      <c r="A31" s="31"/>
      <c r="B31" s="32" t="s">
        <v>35</v>
      </c>
      <c r="C31" s="33" t="s">
        <v>36</v>
      </c>
      <c r="D31" s="26">
        <f>D32+D33</f>
        <v>523</v>
      </c>
      <c r="E31" s="26">
        <f>E32+E33</f>
        <v>148</v>
      </c>
      <c r="F31" s="14"/>
      <c r="G31" s="14"/>
      <c r="H31" s="13"/>
    </row>
    <row r="32" spans="1:8">
      <c r="A32" s="20">
        <v>17</v>
      </c>
      <c r="B32" s="25" t="s">
        <v>36</v>
      </c>
      <c r="C32" s="21"/>
      <c r="D32" s="22">
        <v>326</v>
      </c>
      <c r="E32" s="23">
        <v>91</v>
      </c>
      <c r="F32" s="20">
        <v>400</v>
      </c>
      <c r="G32" s="20">
        <v>50</v>
      </c>
      <c r="H32" s="23"/>
    </row>
    <row r="33" spans="1:8">
      <c r="A33" s="28">
        <v>18</v>
      </c>
      <c r="B33" s="29" t="s">
        <v>37</v>
      </c>
      <c r="C33" s="30"/>
      <c r="D33" s="22">
        <v>197</v>
      </c>
      <c r="E33" s="23">
        <v>57</v>
      </c>
      <c r="F33" s="20">
        <v>420</v>
      </c>
      <c r="G33" s="20">
        <v>70</v>
      </c>
      <c r="H33" s="23">
        <v>20</v>
      </c>
    </row>
    <row r="34" spans="1:8">
      <c r="A34" s="31"/>
      <c r="B34" s="32" t="s">
        <v>38</v>
      </c>
      <c r="C34" s="33" t="s">
        <v>39</v>
      </c>
      <c r="D34" s="26">
        <f>D35+D36+D37</f>
        <v>1160</v>
      </c>
      <c r="E34" s="12">
        <f>E35+E36+E37</f>
        <v>253</v>
      </c>
      <c r="F34" s="14"/>
      <c r="G34" s="14"/>
      <c r="H34" s="13"/>
    </row>
    <row r="35" spans="1:8">
      <c r="A35" s="20">
        <v>19</v>
      </c>
      <c r="B35" s="25" t="s">
        <v>39</v>
      </c>
      <c r="C35" s="21"/>
      <c r="D35" s="22">
        <v>789</v>
      </c>
      <c r="E35" s="23">
        <v>169</v>
      </c>
      <c r="F35" s="20">
        <v>530</v>
      </c>
      <c r="G35" s="20">
        <v>190</v>
      </c>
      <c r="H35" s="23"/>
    </row>
    <row r="36" spans="1:8">
      <c r="A36" s="20">
        <v>20</v>
      </c>
      <c r="B36" s="25" t="s">
        <v>40</v>
      </c>
      <c r="C36" s="21"/>
      <c r="D36" s="22">
        <v>223</v>
      </c>
      <c r="E36" s="23">
        <v>48</v>
      </c>
      <c r="F36" s="20">
        <v>525</v>
      </c>
      <c r="G36" s="20">
        <v>197</v>
      </c>
      <c r="H36" s="23">
        <v>5</v>
      </c>
    </row>
    <row r="37" spans="1:8">
      <c r="A37" s="20">
        <v>21</v>
      </c>
      <c r="B37" s="25" t="s">
        <v>41</v>
      </c>
      <c r="C37" s="21"/>
      <c r="D37" s="22">
        <v>148</v>
      </c>
      <c r="E37" s="23">
        <v>36</v>
      </c>
      <c r="F37" s="20">
        <v>537</v>
      </c>
      <c r="G37" s="20">
        <v>225</v>
      </c>
      <c r="H37" s="23">
        <v>18</v>
      </c>
    </row>
    <row r="38" spans="1:8">
      <c r="A38" s="31"/>
      <c r="B38" s="32" t="s">
        <v>42</v>
      </c>
      <c r="C38" s="33" t="s">
        <v>43</v>
      </c>
      <c r="D38" s="19">
        <f>D39+D40</f>
        <v>695</v>
      </c>
      <c r="E38" s="12">
        <f>E39+E40</f>
        <v>201</v>
      </c>
      <c r="F38" s="14"/>
      <c r="G38" s="14"/>
      <c r="H38" s="13"/>
    </row>
    <row r="39" spans="1:8">
      <c r="A39" s="20">
        <v>22</v>
      </c>
      <c r="B39" s="25" t="s">
        <v>43</v>
      </c>
      <c r="C39" s="21"/>
      <c r="D39" s="22">
        <v>349</v>
      </c>
      <c r="E39" s="23">
        <v>101</v>
      </c>
      <c r="F39" s="20">
        <v>368</v>
      </c>
      <c r="G39" s="20">
        <v>18</v>
      </c>
      <c r="H39" s="23"/>
    </row>
    <row r="40" spans="1:8">
      <c r="A40" s="28">
        <v>23</v>
      </c>
      <c r="B40" s="29" t="s">
        <v>44</v>
      </c>
      <c r="C40" s="30"/>
      <c r="D40" s="22">
        <v>346</v>
      </c>
      <c r="E40" s="23">
        <v>100</v>
      </c>
      <c r="F40" s="20">
        <v>387</v>
      </c>
      <c r="G40" s="20">
        <v>37</v>
      </c>
      <c r="H40" s="23">
        <v>19</v>
      </c>
    </row>
    <row r="41" spans="1:8">
      <c r="A41" s="14"/>
      <c r="B41" s="11" t="s">
        <v>45</v>
      </c>
      <c r="C41" s="10" t="s">
        <v>46</v>
      </c>
      <c r="D41" s="19">
        <f>D42</f>
        <v>5632</v>
      </c>
      <c r="E41" s="19">
        <f>E42</f>
        <v>1893</v>
      </c>
      <c r="F41" s="14"/>
      <c r="G41" s="14"/>
      <c r="H41" s="13"/>
    </row>
    <row r="42" spans="1:8">
      <c r="A42" s="20">
        <v>24</v>
      </c>
      <c r="B42" s="25" t="s">
        <v>46</v>
      </c>
      <c r="C42" s="21"/>
      <c r="D42" s="27">
        <v>5632</v>
      </c>
      <c r="E42" s="23">
        <v>1893</v>
      </c>
      <c r="F42" s="20">
        <v>350</v>
      </c>
      <c r="G42" s="20"/>
      <c r="H42" s="23"/>
    </row>
    <row r="43" spans="1:8">
      <c r="A43" s="20"/>
      <c r="B43" s="34" t="s">
        <v>47</v>
      </c>
      <c r="C43" s="35"/>
      <c r="D43" s="19">
        <f>D41+D38+D34+D31+D29+D26+D23+D19+D16+D12+D8</f>
        <v>11929</v>
      </c>
      <c r="E43" s="36">
        <f>E8+E12+E16+E19+E23+E26+E29+E31+E34+E38+E41</f>
        <v>3666</v>
      </c>
      <c r="F43" s="20"/>
      <c r="G43" s="20"/>
      <c r="H43" s="23"/>
    </row>
  </sheetData>
  <mergeCells count="10">
    <mergeCell ref="A1:H1"/>
    <mergeCell ref="A2:H2"/>
    <mergeCell ref="A3:H3"/>
    <mergeCell ref="F5:H5"/>
    <mergeCell ref="B43:C43"/>
    <mergeCell ref="A5:A6"/>
    <mergeCell ref="B5:B6"/>
    <mergeCell ref="C5:C6"/>
    <mergeCell ref="D5:D6"/>
    <mergeCell ref="E5:E6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3"/>
  <sheetViews>
    <sheetView zoomScale="80" zoomScaleNormal="80" topLeftCell="A16" workbookViewId="0">
      <selection activeCell="A1" sqref="A1:I43"/>
    </sheetView>
  </sheetViews>
  <sheetFormatPr defaultColWidth="9.14285714285714" defaultRowHeight="15"/>
  <cols>
    <col min="1" max="1" width="6" customWidth="1"/>
    <col min="2" max="2" width="16.2857142857143" customWidth="1"/>
    <col min="3" max="3" width="14.1428571428571" customWidth="1"/>
    <col min="4" max="5" width="13.8571428571429" customWidth="1"/>
    <col min="6" max="6" width="11.8571428571429" customWidth="1"/>
    <col min="7" max="7" width="11.4285714285714" customWidth="1"/>
    <col min="8" max="8" width="11.5714285714286" customWidth="1"/>
  </cols>
  <sheetData>
    <row r="1" ht="15.75" spans="1:8">
      <c r="A1" s="1" t="s">
        <v>0</v>
      </c>
      <c r="B1" s="1"/>
      <c r="C1" s="1"/>
      <c r="D1" s="1"/>
      <c r="E1" s="1"/>
      <c r="F1" s="1"/>
      <c r="G1" s="1"/>
      <c r="H1" s="1"/>
    </row>
    <row r="2" ht="15.75" spans="1:8">
      <c r="A2" s="1" t="s">
        <v>1</v>
      </c>
      <c r="B2" s="1"/>
      <c r="C2" s="1"/>
      <c r="D2" s="1"/>
      <c r="E2" s="1"/>
      <c r="F2" s="1"/>
      <c r="G2" s="1"/>
      <c r="H2" s="1"/>
    </row>
    <row r="3" ht="15.75" spans="1:8">
      <c r="A3" s="1" t="s">
        <v>51</v>
      </c>
      <c r="B3" s="1"/>
      <c r="C3" s="1"/>
      <c r="D3" s="1"/>
      <c r="E3" s="1"/>
      <c r="F3" s="1"/>
      <c r="G3" s="1"/>
      <c r="H3" s="1"/>
    </row>
    <row r="4" spans="1:8">
      <c r="A4" s="2"/>
      <c r="B4" s="2"/>
      <c r="C4" s="2"/>
      <c r="D4" s="2"/>
      <c r="E4" s="2"/>
      <c r="F4" s="2"/>
      <c r="G4" s="2"/>
      <c r="H4" s="2"/>
    </row>
    <row r="5" spans="1:8">
      <c r="A5" s="3" t="s">
        <v>3</v>
      </c>
      <c r="B5" s="3" t="s">
        <v>4</v>
      </c>
      <c r="C5" s="3" t="s">
        <v>5</v>
      </c>
      <c r="D5" s="4" t="s">
        <v>6</v>
      </c>
      <c r="E5" s="4" t="s">
        <v>49</v>
      </c>
      <c r="F5" s="5" t="s">
        <v>8</v>
      </c>
      <c r="G5" s="5"/>
      <c r="H5" s="5"/>
    </row>
    <row r="6" ht="36" spans="1:8">
      <c r="A6" s="3"/>
      <c r="B6" s="3"/>
      <c r="C6" s="3"/>
      <c r="D6" s="6"/>
      <c r="E6" s="7"/>
      <c r="F6" s="8" t="s">
        <v>9</v>
      </c>
      <c r="G6" s="8" t="s">
        <v>10</v>
      </c>
      <c r="H6" s="8" t="s">
        <v>11</v>
      </c>
    </row>
    <row r="7" spans="1:8">
      <c r="A7" s="9">
        <v>1</v>
      </c>
      <c r="B7" s="9">
        <v>2</v>
      </c>
      <c r="C7" s="9">
        <v>3</v>
      </c>
      <c r="D7" s="9">
        <v>4</v>
      </c>
      <c r="E7" s="9">
        <v>5</v>
      </c>
      <c r="F7" s="9">
        <v>6</v>
      </c>
      <c r="G7" s="9">
        <v>7</v>
      </c>
      <c r="H7" s="9">
        <v>8</v>
      </c>
    </row>
    <row r="8" spans="1:8">
      <c r="A8" s="10"/>
      <c r="B8" s="11" t="s">
        <v>12</v>
      </c>
      <c r="C8" s="10" t="s">
        <v>13</v>
      </c>
      <c r="D8" s="12">
        <f>D9+D10+D11</f>
        <v>795</v>
      </c>
      <c r="E8" s="12">
        <f>E9+E10+E11</f>
        <v>226</v>
      </c>
      <c r="F8" s="13"/>
      <c r="G8" s="14"/>
      <c r="H8" s="13"/>
    </row>
    <row r="9" spans="1:8">
      <c r="A9" s="15">
        <v>1</v>
      </c>
      <c r="B9" s="16" t="s">
        <v>13</v>
      </c>
      <c r="C9" s="16"/>
      <c r="D9" s="17">
        <v>408</v>
      </c>
      <c r="E9" s="17">
        <v>116</v>
      </c>
      <c r="F9" s="17">
        <v>378</v>
      </c>
      <c r="G9" s="15">
        <v>28</v>
      </c>
      <c r="H9" s="17"/>
    </row>
    <row r="10" spans="1:8">
      <c r="A10" s="15">
        <v>2</v>
      </c>
      <c r="B10" s="18" t="s">
        <v>14</v>
      </c>
      <c r="C10" s="16"/>
      <c r="D10" s="15">
        <v>154</v>
      </c>
      <c r="E10" s="17">
        <v>34</v>
      </c>
      <c r="F10" s="15">
        <v>390</v>
      </c>
      <c r="G10" s="15">
        <v>40</v>
      </c>
      <c r="H10" s="17">
        <v>12</v>
      </c>
    </row>
    <row r="11" spans="1:8">
      <c r="A11" s="15">
        <v>3</v>
      </c>
      <c r="B11" s="18" t="s">
        <v>15</v>
      </c>
      <c r="C11" s="18"/>
      <c r="D11" s="15">
        <v>233</v>
      </c>
      <c r="E11" s="17">
        <v>76</v>
      </c>
      <c r="F11" s="15">
        <v>410</v>
      </c>
      <c r="G11" s="15">
        <v>60</v>
      </c>
      <c r="H11" s="17">
        <v>32</v>
      </c>
    </row>
    <row r="12" spans="1:8">
      <c r="A12" s="14"/>
      <c r="B12" s="11" t="s">
        <v>16</v>
      </c>
      <c r="C12" s="10" t="s">
        <v>17</v>
      </c>
      <c r="D12" s="19">
        <f>D13+D14+D15</f>
        <v>828</v>
      </c>
      <c r="E12" s="12">
        <f>E13+E14+E15</f>
        <v>303</v>
      </c>
      <c r="F12" s="14"/>
      <c r="G12" s="14"/>
      <c r="H12" s="13"/>
    </row>
    <row r="13" spans="1:8">
      <c r="A13" s="20">
        <v>4</v>
      </c>
      <c r="B13" s="21" t="s">
        <v>17</v>
      </c>
      <c r="C13" s="21"/>
      <c r="D13" s="22">
        <v>471</v>
      </c>
      <c r="E13" s="23">
        <v>158</v>
      </c>
      <c r="F13" s="23">
        <v>395</v>
      </c>
      <c r="G13" s="23">
        <v>45</v>
      </c>
      <c r="H13" s="24"/>
    </row>
    <row r="14" spans="1:8">
      <c r="A14" s="20">
        <v>5</v>
      </c>
      <c r="B14" s="25" t="s">
        <v>18</v>
      </c>
      <c r="C14" s="21"/>
      <c r="D14" s="22">
        <v>67</v>
      </c>
      <c r="E14" s="23">
        <v>33</v>
      </c>
      <c r="F14" s="20">
        <v>403</v>
      </c>
      <c r="G14" s="20">
        <v>53</v>
      </c>
      <c r="H14" s="23">
        <v>8</v>
      </c>
    </row>
    <row r="15" spans="1:8">
      <c r="A15" s="20">
        <v>6</v>
      </c>
      <c r="B15" s="25" t="s">
        <v>19</v>
      </c>
      <c r="C15" s="21"/>
      <c r="D15" s="22">
        <v>290</v>
      </c>
      <c r="E15" s="23">
        <v>112</v>
      </c>
      <c r="F15" s="20">
        <v>368</v>
      </c>
      <c r="G15" s="20">
        <v>18</v>
      </c>
      <c r="H15" s="23">
        <v>27</v>
      </c>
    </row>
    <row r="16" spans="1:8">
      <c r="A16" s="14"/>
      <c r="B16" s="11" t="s">
        <v>20</v>
      </c>
      <c r="C16" s="10" t="s">
        <v>21</v>
      </c>
      <c r="D16" s="26">
        <f>D17+D18</f>
        <v>183</v>
      </c>
      <c r="E16" s="12">
        <f>E17+E18</f>
        <v>61</v>
      </c>
      <c r="F16" s="14"/>
      <c r="G16" s="14"/>
      <c r="H16" s="13"/>
    </row>
    <row r="17" spans="1:8">
      <c r="A17" s="20">
        <v>7</v>
      </c>
      <c r="B17" s="25" t="s">
        <v>21</v>
      </c>
      <c r="C17" s="21"/>
      <c r="D17" s="22">
        <v>13</v>
      </c>
      <c r="E17" s="23">
        <v>4</v>
      </c>
      <c r="F17" s="23">
        <v>495</v>
      </c>
      <c r="G17" s="23">
        <v>115</v>
      </c>
      <c r="H17" s="23"/>
    </row>
    <row r="18" spans="1:8">
      <c r="A18" s="20">
        <v>8</v>
      </c>
      <c r="B18" s="25" t="s">
        <v>22</v>
      </c>
      <c r="C18" s="21"/>
      <c r="D18" s="22">
        <v>170</v>
      </c>
      <c r="E18" s="23">
        <v>57</v>
      </c>
      <c r="F18" s="20">
        <v>480</v>
      </c>
      <c r="G18" s="20">
        <v>100</v>
      </c>
      <c r="H18" s="23">
        <v>15</v>
      </c>
    </row>
    <row r="19" spans="1:8">
      <c r="A19" s="14"/>
      <c r="B19" s="11" t="s">
        <v>23</v>
      </c>
      <c r="C19" s="10" t="s">
        <v>24</v>
      </c>
      <c r="D19" s="19">
        <f>D20+D21+D22</f>
        <v>1431</v>
      </c>
      <c r="E19" s="19">
        <f>E20+E21+E22</f>
        <v>394</v>
      </c>
      <c r="F19" s="14"/>
      <c r="G19" s="14"/>
      <c r="H19" s="13"/>
    </row>
    <row r="20" spans="1:8">
      <c r="A20" s="20">
        <v>9</v>
      </c>
      <c r="B20" s="25" t="s">
        <v>24</v>
      </c>
      <c r="C20" s="21"/>
      <c r="D20" s="27">
        <v>843</v>
      </c>
      <c r="E20" s="23">
        <v>246</v>
      </c>
      <c r="F20" s="20">
        <v>408</v>
      </c>
      <c r="G20" s="20">
        <v>58</v>
      </c>
      <c r="H20" s="23"/>
    </row>
    <row r="21" spans="1:8">
      <c r="A21" s="28">
        <v>10</v>
      </c>
      <c r="B21" s="29" t="s">
        <v>25</v>
      </c>
      <c r="C21" s="30"/>
      <c r="D21" s="22">
        <v>328</v>
      </c>
      <c r="E21" s="23">
        <v>89</v>
      </c>
      <c r="F21" s="20">
        <v>421</v>
      </c>
      <c r="G21" s="20">
        <v>71</v>
      </c>
      <c r="H21" s="23">
        <v>13</v>
      </c>
    </row>
    <row r="22" spans="1:8">
      <c r="A22" s="28">
        <v>11</v>
      </c>
      <c r="B22" s="29" t="s">
        <v>26</v>
      </c>
      <c r="C22" s="30"/>
      <c r="D22" s="22">
        <v>260</v>
      </c>
      <c r="E22" s="23">
        <v>59</v>
      </c>
      <c r="F22" s="20">
        <v>446</v>
      </c>
      <c r="G22" s="20">
        <v>96</v>
      </c>
      <c r="H22" s="23">
        <v>35</v>
      </c>
    </row>
    <row r="23" spans="1:8">
      <c r="A23" s="14"/>
      <c r="B23" s="11" t="s">
        <v>27</v>
      </c>
      <c r="C23" s="10" t="s">
        <v>28</v>
      </c>
      <c r="D23" s="26">
        <f>D24+D25</f>
        <v>331</v>
      </c>
      <c r="E23" s="12">
        <f>E24+E25</f>
        <v>75</v>
      </c>
      <c r="F23" s="14"/>
      <c r="G23" s="14"/>
      <c r="H23" s="13"/>
    </row>
    <row r="24" spans="1:8">
      <c r="A24" s="20">
        <v>12</v>
      </c>
      <c r="B24" s="25" t="s">
        <v>28</v>
      </c>
      <c r="C24" s="21"/>
      <c r="D24" s="22">
        <v>212</v>
      </c>
      <c r="E24" s="23">
        <v>54</v>
      </c>
      <c r="F24" s="20">
        <v>550</v>
      </c>
      <c r="G24" s="20">
        <v>150</v>
      </c>
      <c r="H24" s="23"/>
    </row>
    <row r="25" spans="1:8">
      <c r="A25" s="20">
        <v>13</v>
      </c>
      <c r="B25" s="25" t="s">
        <v>29</v>
      </c>
      <c r="C25" s="21"/>
      <c r="D25" s="22">
        <v>119</v>
      </c>
      <c r="E25" s="23">
        <v>21</v>
      </c>
      <c r="F25" s="20">
        <v>525</v>
      </c>
      <c r="G25" s="20">
        <v>125</v>
      </c>
      <c r="H25" s="23">
        <v>25</v>
      </c>
    </row>
    <row r="26" spans="1:8">
      <c r="A26" s="31"/>
      <c r="B26" s="32" t="s">
        <v>30</v>
      </c>
      <c r="C26" s="33" t="s">
        <v>31</v>
      </c>
      <c r="D26" s="26">
        <f>D27+D28</f>
        <v>256</v>
      </c>
      <c r="E26" s="12">
        <f>E27+E28</f>
        <v>74</v>
      </c>
      <c r="F26" s="14"/>
      <c r="G26" s="14"/>
      <c r="H26" s="13"/>
    </row>
    <row r="27" spans="1:8">
      <c r="A27" s="20">
        <v>14</v>
      </c>
      <c r="B27" s="25" t="s">
        <v>31</v>
      </c>
      <c r="C27" s="21"/>
      <c r="D27" s="22">
        <v>200</v>
      </c>
      <c r="E27" s="23">
        <v>50</v>
      </c>
      <c r="F27" s="20">
        <v>413</v>
      </c>
      <c r="G27" s="20">
        <v>60</v>
      </c>
      <c r="H27" s="23"/>
    </row>
    <row r="28" spans="1:8">
      <c r="A28" s="28">
        <v>15</v>
      </c>
      <c r="B28" s="29" t="s">
        <v>32</v>
      </c>
      <c r="C28" s="30"/>
      <c r="D28" s="22">
        <v>56</v>
      </c>
      <c r="E28" s="23">
        <v>24</v>
      </c>
      <c r="F28" s="20">
        <v>448</v>
      </c>
      <c r="G28" s="20">
        <v>104</v>
      </c>
      <c r="H28" s="23">
        <v>35</v>
      </c>
    </row>
    <row r="29" spans="1:8">
      <c r="A29" s="14"/>
      <c r="B29" s="11" t="s">
        <v>33</v>
      </c>
      <c r="C29" s="10" t="s">
        <v>34</v>
      </c>
      <c r="D29" s="26">
        <f>D30</f>
        <v>87</v>
      </c>
      <c r="E29" s="12">
        <f>E30</f>
        <v>31</v>
      </c>
      <c r="F29" s="14"/>
      <c r="G29" s="14"/>
      <c r="H29" s="13"/>
    </row>
    <row r="30" spans="1:8">
      <c r="A30" s="28">
        <v>16</v>
      </c>
      <c r="B30" s="29" t="s">
        <v>34</v>
      </c>
      <c r="C30" s="30"/>
      <c r="D30" s="22">
        <v>87</v>
      </c>
      <c r="E30" s="23">
        <v>31</v>
      </c>
      <c r="F30" s="20">
        <v>505</v>
      </c>
      <c r="G30" s="20">
        <v>120</v>
      </c>
      <c r="H30" s="23"/>
    </row>
    <row r="31" spans="1:8">
      <c r="A31" s="31"/>
      <c r="B31" s="32" t="s">
        <v>35</v>
      </c>
      <c r="C31" s="33" t="s">
        <v>36</v>
      </c>
      <c r="D31" s="26">
        <f>D32+D33</f>
        <v>523</v>
      </c>
      <c r="E31" s="26">
        <f>E32+E33</f>
        <v>148</v>
      </c>
      <c r="F31" s="14"/>
      <c r="G31" s="14"/>
      <c r="H31" s="13"/>
    </row>
    <row r="32" spans="1:8">
      <c r="A32" s="20">
        <v>17</v>
      </c>
      <c r="B32" s="25" t="s">
        <v>36</v>
      </c>
      <c r="C32" s="21"/>
      <c r="D32" s="22">
        <v>326</v>
      </c>
      <c r="E32" s="23">
        <v>91</v>
      </c>
      <c r="F32" s="20">
        <v>400</v>
      </c>
      <c r="G32" s="20">
        <v>50</v>
      </c>
      <c r="H32" s="23"/>
    </row>
    <row r="33" spans="1:9">
      <c r="A33" s="28">
        <v>18</v>
      </c>
      <c r="B33" s="29" t="s">
        <v>37</v>
      </c>
      <c r="C33" s="30"/>
      <c r="D33" s="22">
        <v>197</v>
      </c>
      <c r="E33" s="23">
        <v>57</v>
      </c>
      <c r="F33" s="20">
        <v>420</v>
      </c>
      <c r="G33" s="20">
        <v>70</v>
      </c>
      <c r="H33" s="23">
        <v>20</v>
      </c>
    </row>
    <row r="34" spans="1:9">
      <c r="A34" s="31"/>
      <c r="B34" s="32" t="s">
        <v>38</v>
      </c>
      <c r="C34" s="33" t="s">
        <v>39</v>
      </c>
      <c r="D34" s="26">
        <f>D35+D36+D37</f>
        <v>1159</v>
      </c>
      <c r="E34" s="12">
        <f>E35+E36+E37</f>
        <v>253</v>
      </c>
      <c r="F34" s="14"/>
      <c r="G34" s="14"/>
      <c r="H34" s="13"/>
    </row>
    <row r="35" spans="1:9">
      <c r="A35" s="20">
        <v>19</v>
      </c>
      <c r="B35" s="25" t="s">
        <v>39</v>
      </c>
      <c r="C35" s="21"/>
      <c r="D35" s="22">
        <v>788</v>
      </c>
      <c r="E35" s="23">
        <v>169</v>
      </c>
      <c r="F35" s="20">
        <v>530</v>
      </c>
      <c r="G35" s="20">
        <v>190</v>
      </c>
      <c r="H35" s="23"/>
    </row>
    <row r="36" spans="1:9">
      <c r="A36" s="20">
        <v>20</v>
      </c>
      <c r="B36" s="25" t="s">
        <v>40</v>
      </c>
      <c r="C36" s="21"/>
      <c r="D36" s="22">
        <v>225</v>
      </c>
      <c r="E36" s="23">
        <v>48</v>
      </c>
      <c r="F36" s="20">
        <v>525</v>
      </c>
      <c r="G36" s="20">
        <v>197</v>
      </c>
      <c r="H36" s="23">
        <v>5</v>
      </c>
    </row>
    <row r="37" spans="1:9">
      <c r="A37" s="20">
        <v>21</v>
      </c>
      <c r="B37" s="25" t="s">
        <v>41</v>
      </c>
      <c r="C37" s="21"/>
      <c r="D37" s="22">
        <v>146</v>
      </c>
      <c r="E37" s="23">
        <v>36</v>
      </c>
      <c r="F37" s="20">
        <v>537</v>
      </c>
      <c r="G37" s="20">
        <v>225</v>
      </c>
      <c r="H37" s="23">
        <v>18</v>
      </c>
    </row>
    <row r="38" spans="1:9">
      <c r="A38" s="31"/>
      <c r="B38" s="32" t="s">
        <v>42</v>
      </c>
      <c r="C38" s="33" t="s">
        <v>43</v>
      </c>
      <c r="D38" s="19">
        <f>D39+D40</f>
        <v>694</v>
      </c>
      <c r="E38" s="12">
        <f>E39+E40</f>
        <v>201</v>
      </c>
      <c r="F38" s="14"/>
      <c r="G38" s="14"/>
      <c r="H38" s="13"/>
    </row>
    <row r="39" spans="1:9">
      <c r="A39" s="20">
        <v>22</v>
      </c>
      <c r="B39" s="25" t="s">
        <v>43</v>
      </c>
      <c r="C39" s="21"/>
      <c r="D39" s="22">
        <v>348</v>
      </c>
      <c r="E39" s="23">
        <v>101</v>
      </c>
      <c r="F39" s="20">
        <v>368</v>
      </c>
      <c r="G39" s="20">
        <v>18</v>
      </c>
      <c r="H39" s="23"/>
    </row>
    <row r="40" spans="1:9">
      <c r="A40" s="28">
        <v>23</v>
      </c>
      <c r="B40" s="29" t="s">
        <v>44</v>
      </c>
      <c r="C40" s="30"/>
      <c r="D40" s="22">
        <v>346</v>
      </c>
      <c r="E40" s="23">
        <v>100</v>
      </c>
      <c r="F40" s="20">
        <v>387</v>
      </c>
      <c r="G40" s="20">
        <v>37</v>
      </c>
      <c r="H40" s="23">
        <v>19</v>
      </c>
    </row>
    <row r="41" spans="1:9">
      <c r="A41" s="14"/>
      <c r="B41" s="11" t="s">
        <v>45</v>
      </c>
      <c r="C41" s="10" t="s">
        <v>46</v>
      </c>
      <c r="D41" s="19">
        <f>D42</f>
        <v>5602</v>
      </c>
      <c r="E41" s="19">
        <f>E42</f>
        <v>1664</v>
      </c>
      <c r="F41" s="14"/>
      <c r="G41" s="14"/>
      <c r="H41" s="13"/>
    </row>
    <row r="42" spans="1:9">
      <c r="A42" s="20">
        <v>24</v>
      </c>
      <c r="B42" s="25" t="s">
        <v>46</v>
      </c>
      <c r="C42" s="21"/>
      <c r="D42" s="27">
        <v>5602</v>
      </c>
      <c r="E42" s="23">
        <v>1664</v>
      </c>
      <c r="F42" s="20">
        <v>350</v>
      </c>
      <c r="G42" s="20"/>
      <c r="H42" s="23"/>
      <c r="I42">
        <v>6080</v>
      </c>
    </row>
    <row r="43" spans="1:9">
      <c r="A43" s="20"/>
      <c r="B43" s="34" t="s">
        <v>47</v>
      </c>
      <c r="C43" s="35"/>
      <c r="D43" s="19">
        <f>D41+D38+D34+D31+D29+D26+D23+D19+D16+D12+D8</f>
        <v>11889</v>
      </c>
      <c r="E43" s="36">
        <f>E8+E12+E16+E19+E23+E26+E29+E31+E34+E38+E41</f>
        <v>3430</v>
      </c>
      <c r="F43" s="20"/>
      <c r="G43" s="20"/>
      <c r="H43" s="23"/>
    </row>
  </sheetData>
  <mergeCells count="10">
    <mergeCell ref="A1:H1"/>
    <mergeCell ref="A2:H2"/>
    <mergeCell ref="A3:H3"/>
    <mergeCell ref="F5:H5"/>
    <mergeCell ref="B43:C43"/>
    <mergeCell ref="A5:A6"/>
    <mergeCell ref="B5:B6"/>
    <mergeCell ref="C5:C6"/>
    <mergeCell ref="D5:D6"/>
    <mergeCell ref="E5:E6"/>
  </mergeCells>
  <pageMargins left="0.75" right="0.75" top="1" bottom="1" header="0.5" footer="0.5"/>
  <pageSetup paperSize="9" scale="85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3"/>
  <sheetViews>
    <sheetView zoomScale="80" zoomScaleNormal="80" topLeftCell="A14" workbookViewId="0">
      <selection activeCell="A1" sqref="A1:H43"/>
    </sheetView>
  </sheetViews>
  <sheetFormatPr defaultColWidth="9.14285714285714" defaultRowHeight="15"/>
  <cols>
    <col min="1" max="1" width="6" customWidth="1"/>
    <col min="2" max="2" width="16.2857142857143" customWidth="1"/>
    <col min="3" max="3" width="14.1428571428571" customWidth="1"/>
    <col min="4" max="5" width="13.8571428571429" customWidth="1"/>
    <col min="6" max="6" width="11.8571428571429" customWidth="1"/>
    <col min="7" max="7" width="11.4285714285714" customWidth="1"/>
    <col min="8" max="8" width="11.5714285714286" customWidth="1"/>
    <col min="9" max="9" width="9.14285714285714" hidden="1" customWidth="1"/>
  </cols>
  <sheetData>
    <row r="1" ht="15.75" spans="1:9">
      <c r="A1" s="1" t="s">
        <v>0</v>
      </c>
      <c r="B1" s="1"/>
      <c r="C1" s="1"/>
      <c r="D1" s="1"/>
      <c r="E1" s="1"/>
      <c r="F1" s="1"/>
      <c r="G1" s="1"/>
      <c r="H1" s="1"/>
    </row>
    <row r="2" ht="15.75" spans="1:9">
      <c r="A2" s="1" t="s">
        <v>1</v>
      </c>
      <c r="B2" s="1"/>
      <c r="C2" s="1"/>
      <c r="D2" s="1"/>
      <c r="E2" s="1"/>
      <c r="F2" s="1"/>
      <c r="G2" s="1"/>
      <c r="H2" s="1"/>
    </row>
    <row r="3" ht="15.75" spans="1:9">
      <c r="A3" s="1" t="s">
        <v>51</v>
      </c>
      <c r="B3" s="1"/>
      <c r="C3" s="1"/>
      <c r="D3" s="1"/>
      <c r="E3" s="1"/>
      <c r="F3" s="1"/>
      <c r="G3" s="1"/>
      <c r="H3" s="1"/>
    </row>
    <row r="4" spans="1:9">
      <c r="A4" s="2"/>
      <c r="B4" s="2"/>
      <c r="C4" s="2"/>
      <c r="D4" s="2"/>
      <c r="E4" s="2"/>
      <c r="F4" s="2"/>
      <c r="G4" s="2"/>
      <c r="H4" s="2"/>
    </row>
    <row r="5" spans="1:9">
      <c r="A5" s="3" t="s">
        <v>3</v>
      </c>
      <c r="B5" s="3" t="s">
        <v>4</v>
      </c>
      <c r="C5" s="3" t="s">
        <v>5</v>
      </c>
      <c r="D5" s="4" t="s">
        <v>6</v>
      </c>
      <c r="E5" s="4" t="s">
        <v>49</v>
      </c>
      <c r="F5" s="5" t="s">
        <v>8</v>
      </c>
      <c r="G5" s="5"/>
      <c r="H5" s="5"/>
    </row>
    <row r="6" ht="36" spans="1:9">
      <c r="A6" s="3"/>
      <c r="B6" s="3"/>
      <c r="C6" s="3"/>
      <c r="D6" s="6"/>
      <c r="E6" s="7"/>
      <c r="F6" s="8" t="s">
        <v>9</v>
      </c>
      <c r="G6" s="8" t="s">
        <v>10</v>
      </c>
      <c r="H6" s="8" t="s">
        <v>11</v>
      </c>
    </row>
    <row r="7" spans="1:9">
      <c r="A7" s="9">
        <v>1</v>
      </c>
      <c r="B7" s="9">
        <v>2</v>
      </c>
      <c r="C7" s="9">
        <v>3</v>
      </c>
      <c r="D7" s="9">
        <v>4</v>
      </c>
      <c r="E7" s="9">
        <v>5</v>
      </c>
      <c r="F7" s="9">
        <v>6</v>
      </c>
      <c r="G7" s="9">
        <v>7</v>
      </c>
      <c r="H7" s="9">
        <v>8</v>
      </c>
    </row>
    <row r="8" spans="1:9">
      <c r="A8" s="10"/>
      <c r="B8" s="11" t="s">
        <v>12</v>
      </c>
      <c r="C8" s="10" t="s">
        <v>13</v>
      </c>
      <c r="D8" s="12">
        <f>D9+D10+D11</f>
        <v>794</v>
      </c>
      <c r="E8" s="12">
        <f>E9+E10+E11</f>
        <v>226</v>
      </c>
      <c r="F8" s="13"/>
      <c r="G8" s="14"/>
      <c r="H8" s="13"/>
      <c r="I8" s="37"/>
    </row>
    <row r="9" spans="1:9">
      <c r="A9" s="15">
        <v>1</v>
      </c>
      <c r="B9" s="16" t="s">
        <v>13</v>
      </c>
      <c r="C9" s="16"/>
      <c r="D9" s="17">
        <v>407</v>
      </c>
      <c r="E9" s="17">
        <v>116</v>
      </c>
      <c r="F9" s="17">
        <v>378</v>
      </c>
      <c r="G9" s="15">
        <v>28</v>
      </c>
      <c r="H9" s="17"/>
    </row>
    <row r="10" spans="1:9">
      <c r="A10" s="15">
        <v>2</v>
      </c>
      <c r="B10" s="18" t="s">
        <v>14</v>
      </c>
      <c r="C10" s="16"/>
      <c r="D10" s="15">
        <v>154</v>
      </c>
      <c r="E10" s="17">
        <v>34</v>
      </c>
      <c r="F10" s="15">
        <v>390</v>
      </c>
      <c r="G10" s="15">
        <v>40</v>
      </c>
      <c r="H10" s="17">
        <v>12</v>
      </c>
    </row>
    <row r="11" spans="1:9">
      <c r="A11" s="15">
        <v>3</v>
      </c>
      <c r="B11" s="18" t="s">
        <v>15</v>
      </c>
      <c r="C11" s="18"/>
      <c r="D11" s="15">
        <v>233</v>
      </c>
      <c r="E11" s="17">
        <v>76</v>
      </c>
      <c r="F11" s="15">
        <v>410</v>
      </c>
      <c r="G11" s="15">
        <v>60</v>
      </c>
      <c r="H11" s="17">
        <v>32</v>
      </c>
    </row>
    <row r="12" spans="1:9">
      <c r="A12" s="14"/>
      <c r="B12" s="11" t="s">
        <v>16</v>
      </c>
      <c r="C12" s="10" t="s">
        <v>17</v>
      </c>
      <c r="D12" s="19">
        <f>D13+D14+D15</f>
        <v>828</v>
      </c>
      <c r="E12" s="12">
        <f>E13+E14+E15</f>
        <v>303</v>
      </c>
      <c r="F12" s="14"/>
      <c r="G12" s="14"/>
      <c r="H12" s="13"/>
    </row>
    <row r="13" spans="1:9">
      <c r="A13" s="20">
        <v>4</v>
      </c>
      <c r="B13" s="21" t="s">
        <v>17</v>
      </c>
      <c r="C13" s="21"/>
      <c r="D13" s="22">
        <v>471</v>
      </c>
      <c r="E13" s="23">
        <v>158</v>
      </c>
      <c r="F13" s="23">
        <v>395</v>
      </c>
      <c r="G13" s="23">
        <v>45</v>
      </c>
      <c r="H13" s="24"/>
    </row>
    <row r="14" spans="1:9">
      <c r="A14" s="20">
        <v>5</v>
      </c>
      <c r="B14" s="25" t="s">
        <v>18</v>
      </c>
      <c r="C14" s="21"/>
      <c r="D14" s="22">
        <v>67</v>
      </c>
      <c r="E14" s="23">
        <v>33</v>
      </c>
      <c r="F14" s="20">
        <v>403</v>
      </c>
      <c r="G14" s="20">
        <v>53</v>
      </c>
      <c r="H14" s="23">
        <v>8</v>
      </c>
    </row>
    <row r="15" spans="1:9">
      <c r="A15" s="20">
        <v>6</v>
      </c>
      <c r="B15" s="25" t="s">
        <v>19</v>
      </c>
      <c r="C15" s="21"/>
      <c r="D15" s="22">
        <v>290</v>
      </c>
      <c r="E15" s="23">
        <v>112</v>
      </c>
      <c r="F15" s="20">
        <v>368</v>
      </c>
      <c r="G15" s="20">
        <v>18</v>
      </c>
      <c r="H15" s="23">
        <v>27</v>
      </c>
    </row>
    <row r="16" spans="1:9">
      <c r="A16" s="14"/>
      <c r="B16" s="11" t="s">
        <v>20</v>
      </c>
      <c r="C16" s="10" t="s">
        <v>21</v>
      </c>
      <c r="D16" s="26">
        <f>D17+D18</f>
        <v>183</v>
      </c>
      <c r="E16" s="12">
        <f>E17+E18</f>
        <v>61</v>
      </c>
      <c r="F16" s="14"/>
      <c r="G16" s="14"/>
      <c r="H16" s="13"/>
      <c r="I16" s="37"/>
    </row>
    <row r="17" spans="1:9">
      <c r="A17" s="20">
        <v>7</v>
      </c>
      <c r="B17" s="25" t="s">
        <v>21</v>
      </c>
      <c r="C17" s="21"/>
      <c r="D17" s="22">
        <v>13</v>
      </c>
      <c r="E17" s="23">
        <v>4</v>
      </c>
      <c r="F17" s="23">
        <v>495</v>
      </c>
      <c r="G17" s="23">
        <v>115</v>
      </c>
      <c r="H17" s="23"/>
    </row>
    <row r="18" spans="1:9">
      <c r="A18" s="20">
        <v>8</v>
      </c>
      <c r="B18" s="25" t="s">
        <v>22</v>
      </c>
      <c r="C18" s="21"/>
      <c r="D18" s="22">
        <v>170</v>
      </c>
      <c r="E18" s="23">
        <v>57</v>
      </c>
      <c r="F18" s="20">
        <v>480</v>
      </c>
      <c r="G18" s="20">
        <v>100</v>
      </c>
      <c r="H18" s="23">
        <v>15</v>
      </c>
    </row>
    <row r="19" spans="1:9">
      <c r="A19" s="14"/>
      <c r="B19" s="11" t="s">
        <v>23</v>
      </c>
      <c r="C19" s="10" t="s">
        <v>24</v>
      </c>
      <c r="D19" s="19">
        <f>D20+D21+D22</f>
        <v>1433</v>
      </c>
      <c r="E19" s="19">
        <f>E20+E21+E22</f>
        <v>394</v>
      </c>
      <c r="F19" s="14"/>
      <c r="G19" s="14"/>
      <c r="H19" s="13"/>
      <c r="I19" s="37"/>
    </row>
    <row r="20" spans="1:9">
      <c r="A20" s="20">
        <v>9</v>
      </c>
      <c r="B20" s="25" t="s">
        <v>24</v>
      </c>
      <c r="C20" s="21"/>
      <c r="D20" s="27">
        <v>845</v>
      </c>
      <c r="E20" s="23">
        <v>246</v>
      </c>
      <c r="F20" s="20">
        <v>408</v>
      </c>
      <c r="G20" s="20">
        <v>58</v>
      </c>
      <c r="H20" s="23"/>
    </row>
    <row r="21" spans="1:9">
      <c r="A21" s="28">
        <v>10</v>
      </c>
      <c r="B21" s="29" t="s">
        <v>25</v>
      </c>
      <c r="C21" s="30"/>
      <c r="D21" s="22">
        <v>328</v>
      </c>
      <c r="E21" s="23">
        <v>89</v>
      </c>
      <c r="F21" s="20">
        <v>421</v>
      </c>
      <c r="G21" s="20">
        <v>71</v>
      </c>
      <c r="H21" s="23">
        <v>13</v>
      </c>
    </row>
    <row r="22" spans="1:9">
      <c r="A22" s="28">
        <v>11</v>
      </c>
      <c r="B22" s="29" t="s">
        <v>26</v>
      </c>
      <c r="C22" s="30"/>
      <c r="D22" s="22">
        <v>260</v>
      </c>
      <c r="E22" s="23">
        <v>59</v>
      </c>
      <c r="F22" s="20">
        <v>446</v>
      </c>
      <c r="G22" s="20">
        <v>96</v>
      </c>
      <c r="H22" s="23">
        <v>35</v>
      </c>
    </row>
    <row r="23" spans="1:9">
      <c r="A23" s="14"/>
      <c r="B23" s="11" t="s">
        <v>27</v>
      </c>
      <c r="C23" s="10" t="s">
        <v>28</v>
      </c>
      <c r="D23" s="26">
        <f>D24+D25</f>
        <v>331</v>
      </c>
      <c r="E23" s="12">
        <f>E24+E25</f>
        <v>75</v>
      </c>
      <c r="F23" s="14"/>
      <c r="G23" s="14"/>
      <c r="H23" s="13"/>
      <c r="I23" s="37"/>
    </row>
    <row r="24" spans="1:9">
      <c r="A24" s="20">
        <v>12</v>
      </c>
      <c r="B24" s="25" t="s">
        <v>28</v>
      </c>
      <c r="C24" s="21"/>
      <c r="D24" s="22">
        <v>212</v>
      </c>
      <c r="E24" s="23">
        <v>54</v>
      </c>
      <c r="F24" s="20">
        <v>550</v>
      </c>
      <c r="G24" s="20">
        <v>150</v>
      </c>
      <c r="H24" s="23"/>
    </row>
    <row r="25" spans="1:9">
      <c r="A25" s="20">
        <v>13</v>
      </c>
      <c r="B25" s="25" t="s">
        <v>29</v>
      </c>
      <c r="C25" s="21"/>
      <c r="D25" s="22">
        <v>119</v>
      </c>
      <c r="E25" s="23">
        <v>21</v>
      </c>
      <c r="F25" s="20">
        <v>525</v>
      </c>
      <c r="G25" s="20">
        <v>125</v>
      </c>
      <c r="H25" s="23">
        <v>25</v>
      </c>
    </row>
    <row r="26" spans="1:9">
      <c r="A26" s="31"/>
      <c r="B26" s="32" t="s">
        <v>30</v>
      </c>
      <c r="C26" s="33" t="s">
        <v>31</v>
      </c>
      <c r="D26" s="26">
        <f>D27+D28</f>
        <v>256</v>
      </c>
      <c r="E26" s="12">
        <f>E27+E28</f>
        <v>74</v>
      </c>
      <c r="F26" s="14"/>
      <c r="G26" s="14"/>
      <c r="H26" s="13"/>
      <c r="I26" s="37"/>
    </row>
    <row r="27" spans="1:9">
      <c r="A27" s="20">
        <v>14</v>
      </c>
      <c r="B27" s="25" t="s">
        <v>31</v>
      </c>
      <c r="C27" s="21"/>
      <c r="D27" s="22">
        <v>200</v>
      </c>
      <c r="E27" s="23">
        <v>50</v>
      </c>
      <c r="F27" s="20">
        <v>413</v>
      </c>
      <c r="G27" s="20">
        <v>60</v>
      </c>
      <c r="H27" s="23"/>
    </row>
    <row r="28" spans="1:9">
      <c r="A28" s="28">
        <v>15</v>
      </c>
      <c r="B28" s="29" t="s">
        <v>32</v>
      </c>
      <c r="C28" s="30"/>
      <c r="D28" s="22">
        <v>56</v>
      </c>
      <c r="E28" s="23">
        <v>24</v>
      </c>
      <c r="F28" s="20">
        <v>448</v>
      </c>
      <c r="G28" s="20">
        <v>104</v>
      </c>
      <c r="H28" s="23">
        <v>35</v>
      </c>
    </row>
    <row r="29" spans="1:9">
      <c r="A29" s="14"/>
      <c r="B29" s="11" t="s">
        <v>33</v>
      </c>
      <c r="C29" s="10" t="s">
        <v>34</v>
      </c>
      <c r="D29" s="26">
        <f>D30</f>
        <v>87</v>
      </c>
      <c r="E29" s="12">
        <f>E30</f>
        <v>31</v>
      </c>
      <c r="F29" s="14"/>
      <c r="G29" s="14"/>
      <c r="H29" s="13"/>
      <c r="I29" s="37"/>
    </row>
    <row r="30" spans="1:9">
      <c r="A30" s="28">
        <v>16</v>
      </c>
      <c r="B30" s="29" t="s">
        <v>34</v>
      </c>
      <c r="C30" s="30"/>
      <c r="D30" s="22">
        <v>87</v>
      </c>
      <c r="E30" s="23">
        <v>31</v>
      </c>
      <c r="F30" s="20">
        <v>505</v>
      </c>
      <c r="G30" s="20">
        <v>120</v>
      </c>
      <c r="H30" s="23"/>
    </row>
    <row r="31" spans="1:9">
      <c r="A31" s="31"/>
      <c r="B31" s="32" t="s">
        <v>35</v>
      </c>
      <c r="C31" s="33" t="s">
        <v>36</v>
      </c>
      <c r="D31" s="26">
        <f>D32+D33</f>
        <v>517</v>
      </c>
      <c r="E31" s="26">
        <f>E32+E33</f>
        <v>146</v>
      </c>
      <c r="F31" s="14"/>
      <c r="G31" s="14"/>
      <c r="H31" s="13"/>
      <c r="I31" s="37"/>
    </row>
    <row r="32" spans="1:9">
      <c r="A32" s="20">
        <v>17</v>
      </c>
      <c r="B32" s="25" t="s">
        <v>36</v>
      </c>
      <c r="C32" s="21"/>
      <c r="D32" s="22">
        <v>321</v>
      </c>
      <c r="E32" s="23">
        <v>89</v>
      </c>
      <c r="F32" s="20">
        <v>400</v>
      </c>
      <c r="G32" s="20">
        <v>50</v>
      </c>
      <c r="H32" s="23"/>
    </row>
    <row r="33" spans="1:9">
      <c r="A33" s="28">
        <v>18</v>
      </c>
      <c r="B33" s="29" t="s">
        <v>37</v>
      </c>
      <c r="C33" s="30"/>
      <c r="D33" s="22">
        <v>196</v>
      </c>
      <c r="E33" s="23">
        <v>57</v>
      </c>
      <c r="F33" s="20">
        <v>420</v>
      </c>
      <c r="G33" s="20">
        <v>70</v>
      </c>
      <c r="H33" s="23">
        <v>20</v>
      </c>
    </row>
    <row r="34" spans="1:9">
      <c r="A34" s="31"/>
      <c r="B34" s="32" t="s">
        <v>38</v>
      </c>
      <c r="C34" s="33" t="s">
        <v>39</v>
      </c>
      <c r="D34" s="26">
        <f>D35+D36+D37</f>
        <v>1159</v>
      </c>
      <c r="E34" s="12">
        <f>E35+E36+E37</f>
        <v>253</v>
      </c>
      <c r="F34" s="14"/>
      <c r="G34" s="14"/>
      <c r="H34" s="13"/>
      <c r="I34" s="37"/>
    </row>
    <row r="35" spans="1:9">
      <c r="A35" s="20">
        <v>19</v>
      </c>
      <c r="B35" s="25" t="s">
        <v>39</v>
      </c>
      <c r="C35" s="21"/>
      <c r="D35" s="22">
        <v>788</v>
      </c>
      <c r="E35" s="23">
        <v>169</v>
      </c>
      <c r="F35" s="20">
        <v>530</v>
      </c>
      <c r="G35" s="20">
        <v>190</v>
      </c>
      <c r="H35" s="23"/>
    </row>
    <row r="36" spans="1:9">
      <c r="A36" s="20">
        <v>20</v>
      </c>
      <c r="B36" s="25" t="s">
        <v>40</v>
      </c>
      <c r="C36" s="21"/>
      <c r="D36" s="22">
        <v>225</v>
      </c>
      <c r="E36" s="23">
        <v>48</v>
      </c>
      <c r="F36" s="20">
        <v>525</v>
      </c>
      <c r="G36" s="20">
        <v>197</v>
      </c>
      <c r="H36" s="23">
        <v>5</v>
      </c>
    </row>
    <row r="37" spans="1:9">
      <c r="A37" s="20">
        <v>21</v>
      </c>
      <c r="B37" s="25" t="s">
        <v>41</v>
      </c>
      <c r="C37" s="21"/>
      <c r="D37" s="22">
        <v>146</v>
      </c>
      <c r="E37" s="23">
        <v>36</v>
      </c>
      <c r="F37" s="20">
        <v>537</v>
      </c>
      <c r="G37" s="20">
        <v>225</v>
      </c>
      <c r="H37" s="23">
        <v>18</v>
      </c>
    </row>
    <row r="38" spans="1:9">
      <c r="A38" s="31"/>
      <c r="B38" s="32" t="s">
        <v>42</v>
      </c>
      <c r="C38" s="33" t="s">
        <v>43</v>
      </c>
      <c r="D38" s="19">
        <f>D39+D40</f>
        <v>692</v>
      </c>
      <c r="E38" s="12">
        <f>E39+E40</f>
        <v>201</v>
      </c>
      <c r="F38" s="14"/>
      <c r="G38" s="14"/>
      <c r="H38" s="13"/>
      <c r="I38" s="37"/>
    </row>
    <row r="39" spans="1:9">
      <c r="A39" s="20">
        <v>22</v>
      </c>
      <c r="B39" s="25" t="s">
        <v>43</v>
      </c>
      <c r="C39" s="21"/>
      <c r="D39" s="22">
        <v>347</v>
      </c>
      <c r="E39" s="23">
        <v>101</v>
      </c>
      <c r="F39" s="20">
        <v>368</v>
      </c>
      <c r="G39" s="20">
        <v>18</v>
      </c>
      <c r="H39" s="23"/>
    </row>
    <row r="40" spans="1:9">
      <c r="A40" s="28">
        <v>23</v>
      </c>
      <c r="B40" s="29" t="s">
        <v>44</v>
      </c>
      <c r="C40" s="30"/>
      <c r="D40" s="22">
        <v>345</v>
      </c>
      <c r="E40" s="23">
        <v>100</v>
      </c>
      <c r="F40" s="20">
        <v>387</v>
      </c>
      <c r="G40" s="20">
        <v>37</v>
      </c>
      <c r="H40" s="23">
        <v>19</v>
      </c>
    </row>
    <row r="41" spans="1:9">
      <c r="A41" s="14"/>
      <c r="B41" s="11" t="s">
        <v>45</v>
      </c>
      <c r="C41" s="10" t="s">
        <v>46</v>
      </c>
      <c r="D41" s="19">
        <f>D42</f>
        <v>5602</v>
      </c>
      <c r="E41" s="19">
        <f>E42</f>
        <v>1664</v>
      </c>
      <c r="F41" s="14"/>
      <c r="G41" s="14"/>
      <c r="H41" s="13"/>
    </row>
    <row r="42" spans="1:9">
      <c r="A42" s="20">
        <v>24</v>
      </c>
      <c r="B42" s="25" t="s">
        <v>46</v>
      </c>
      <c r="C42" s="21"/>
      <c r="D42" s="27">
        <v>5602</v>
      </c>
      <c r="E42" s="23">
        <v>1664</v>
      </c>
      <c r="F42" s="20">
        <v>350</v>
      </c>
      <c r="G42" s="20"/>
      <c r="H42" s="23"/>
      <c r="I42" s="37"/>
    </row>
    <row r="43" spans="1:9">
      <c r="A43" s="20"/>
      <c r="B43" s="34" t="s">
        <v>47</v>
      </c>
      <c r="C43" s="35"/>
      <c r="D43" s="19">
        <f>D41+D38+D34+D31+D29+D26+D23+D19+D16+D12+D8</f>
        <v>11882</v>
      </c>
      <c r="E43" s="36">
        <f>E8+E12+E16+E19+E23+E26+E29+E31+E34+E38+E41</f>
        <v>3428</v>
      </c>
      <c r="F43" s="20"/>
      <c r="G43" s="20"/>
      <c r="H43" s="23"/>
    </row>
  </sheetData>
  <mergeCells count="10">
    <mergeCell ref="A1:H1"/>
    <mergeCell ref="A2:H2"/>
    <mergeCell ref="A3:H3"/>
    <mergeCell ref="F5:H5"/>
    <mergeCell ref="B43:C43"/>
    <mergeCell ref="A5:A6"/>
    <mergeCell ref="B5:B6"/>
    <mergeCell ref="C5:C6"/>
    <mergeCell ref="D5:D6"/>
    <mergeCell ref="E5:E6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3"/>
  <sheetViews>
    <sheetView zoomScale="70" zoomScaleNormal="70" topLeftCell="A9" workbookViewId="0">
      <selection activeCell="A1" sqref="$A1:$XFD1048576"/>
    </sheetView>
  </sheetViews>
  <sheetFormatPr defaultColWidth="9.14285714285714" defaultRowHeight="15"/>
  <cols>
    <col min="1" max="1" width="6" customWidth="1"/>
    <col min="2" max="2" width="16.2857142857143" customWidth="1"/>
    <col min="3" max="3" width="14.1428571428571" customWidth="1"/>
    <col min="4" max="5" width="13.8571428571429" customWidth="1"/>
    <col min="6" max="6" width="11.8571428571429" customWidth="1"/>
    <col min="7" max="7" width="11.4285714285714" customWidth="1"/>
    <col min="8" max="8" width="11.5714285714286" customWidth="1"/>
    <col min="9" max="9" width="9.14285714285714" hidden="1" customWidth="1"/>
  </cols>
  <sheetData>
    <row r="1" ht="15.75" spans="1:9">
      <c r="A1" s="1" t="s">
        <v>0</v>
      </c>
      <c r="B1" s="1"/>
      <c r="C1" s="1"/>
      <c r="D1" s="1"/>
      <c r="E1" s="1"/>
      <c r="F1" s="1"/>
      <c r="G1" s="1"/>
      <c r="H1" s="1"/>
    </row>
    <row r="2" ht="15.75" spans="1:9">
      <c r="A2" s="1" t="s">
        <v>1</v>
      </c>
      <c r="B2" s="1"/>
      <c r="C2" s="1"/>
      <c r="D2" s="1"/>
      <c r="E2" s="1"/>
      <c r="F2" s="1"/>
      <c r="G2" s="1"/>
      <c r="H2" s="1"/>
    </row>
    <row r="3" ht="15.75" spans="1:9">
      <c r="A3" s="1" t="s">
        <v>52</v>
      </c>
      <c r="B3" s="1"/>
      <c r="C3" s="1"/>
      <c r="D3" s="1"/>
      <c r="E3" s="1"/>
      <c r="F3" s="1"/>
      <c r="G3" s="1"/>
      <c r="H3" s="1"/>
    </row>
    <row r="4" spans="1:9">
      <c r="A4" s="2"/>
      <c r="B4" s="2"/>
      <c r="C4" s="2"/>
      <c r="D4" s="2"/>
      <c r="E4" s="2"/>
      <c r="F4" s="2"/>
      <c r="G4" s="2"/>
      <c r="H4" s="2"/>
    </row>
    <row r="5" spans="1:9">
      <c r="A5" s="3" t="s">
        <v>3</v>
      </c>
      <c r="B5" s="3" t="s">
        <v>4</v>
      </c>
      <c r="C5" s="3" t="s">
        <v>5</v>
      </c>
      <c r="D5" s="4" t="s">
        <v>6</v>
      </c>
      <c r="E5" s="4" t="s">
        <v>49</v>
      </c>
      <c r="F5" s="5" t="s">
        <v>8</v>
      </c>
      <c r="G5" s="5"/>
      <c r="H5" s="5"/>
    </row>
    <row r="6" ht="36" spans="1:9">
      <c r="A6" s="3"/>
      <c r="B6" s="3"/>
      <c r="C6" s="3"/>
      <c r="D6" s="6"/>
      <c r="E6" s="7"/>
      <c r="F6" s="8" t="s">
        <v>9</v>
      </c>
      <c r="G6" s="8" t="s">
        <v>10</v>
      </c>
      <c r="H6" s="8" t="s">
        <v>11</v>
      </c>
    </row>
    <row r="7" spans="1:9">
      <c r="A7" s="9">
        <v>1</v>
      </c>
      <c r="B7" s="9">
        <v>2</v>
      </c>
      <c r="C7" s="9">
        <v>3</v>
      </c>
      <c r="D7" s="9">
        <v>4</v>
      </c>
      <c r="E7" s="9">
        <v>5</v>
      </c>
      <c r="F7" s="9">
        <v>6</v>
      </c>
      <c r="G7" s="9">
        <v>7</v>
      </c>
      <c r="H7" s="9">
        <v>8</v>
      </c>
    </row>
    <row r="8" spans="1:9">
      <c r="A8" s="10"/>
      <c r="B8" s="11" t="s">
        <v>12</v>
      </c>
      <c r="C8" s="10" t="s">
        <v>13</v>
      </c>
      <c r="D8" s="12">
        <f>D9+D10+D11</f>
        <v>794</v>
      </c>
      <c r="E8" s="12">
        <f>E9+E10+E11</f>
        <v>226</v>
      </c>
      <c r="F8" s="13"/>
      <c r="G8" s="14"/>
      <c r="H8" s="13"/>
      <c r="I8" s="37"/>
    </row>
    <row r="9" spans="1:9">
      <c r="A9" s="15">
        <v>1</v>
      </c>
      <c r="B9" s="16" t="s">
        <v>13</v>
      </c>
      <c r="C9" s="16"/>
      <c r="D9" s="17">
        <v>407</v>
      </c>
      <c r="E9" s="17">
        <v>116</v>
      </c>
      <c r="F9" s="17">
        <v>378</v>
      </c>
      <c r="G9" s="15">
        <v>28</v>
      </c>
      <c r="H9" s="17"/>
    </row>
    <row r="10" spans="1:9">
      <c r="A10" s="15">
        <v>2</v>
      </c>
      <c r="B10" s="18" t="s">
        <v>14</v>
      </c>
      <c r="C10" s="16"/>
      <c r="D10" s="15">
        <v>154</v>
      </c>
      <c r="E10" s="17">
        <v>34</v>
      </c>
      <c r="F10" s="15">
        <v>390</v>
      </c>
      <c r="G10" s="15">
        <v>40</v>
      </c>
      <c r="H10" s="17">
        <v>12</v>
      </c>
    </row>
    <row r="11" spans="1:9">
      <c r="A11" s="15">
        <v>3</v>
      </c>
      <c r="B11" s="18" t="s">
        <v>15</v>
      </c>
      <c r="C11" s="18"/>
      <c r="D11" s="15">
        <v>233</v>
      </c>
      <c r="E11" s="17">
        <v>76</v>
      </c>
      <c r="F11" s="15">
        <v>410</v>
      </c>
      <c r="G11" s="15">
        <v>60</v>
      </c>
      <c r="H11" s="17">
        <v>32</v>
      </c>
    </row>
    <row r="12" spans="1:9">
      <c r="A12" s="14"/>
      <c r="B12" s="11" t="s">
        <v>16</v>
      </c>
      <c r="C12" s="10" t="s">
        <v>17</v>
      </c>
      <c r="D12" s="19">
        <f>D13+D14+D15</f>
        <v>827</v>
      </c>
      <c r="E12" s="12">
        <f>E13+E14+E15</f>
        <v>303</v>
      </c>
      <c r="F12" s="14"/>
      <c r="G12" s="14"/>
      <c r="H12" s="13"/>
      <c r="I12" s="37"/>
    </row>
    <row r="13" spans="1:9">
      <c r="A13" s="20">
        <v>4</v>
      </c>
      <c r="B13" s="21" t="s">
        <v>17</v>
      </c>
      <c r="C13" s="21"/>
      <c r="D13" s="22">
        <v>471</v>
      </c>
      <c r="E13" s="23">
        <v>158</v>
      </c>
      <c r="F13" s="23">
        <v>395</v>
      </c>
      <c r="G13" s="23">
        <v>45</v>
      </c>
      <c r="H13" s="24"/>
    </row>
    <row r="14" spans="1:9">
      <c r="A14" s="20">
        <v>5</v>
      </c>
      <c r="B14" s="25" t="s">
        <v>18</v>
      </c>
      <c r="C14" s="21"/>
      <c r="D14" s="22">
        <v>67</v>
      </c>
      <c r="E14" s="23">
        <v>33</v>
      </c>
      <c r="F14" s="20">
        <v>403</v>
      </c>
      <c r="G14" s="20">
        <v>53</v>
      </c>
      <c r="H14" s="23">
        <v>8</v>
      </c>
    </row>
    <row r="15" spans="1:9">
      <c r="A15" s="20">
        <v>6</v>
      </c>
      <c r="B15" s="25" t="s">
        <v>19</v>
      </c>
      <c r="C15" s="21"/>
      <c r="D15" s="22">
        <v>289</v>
      </c>
      <c r="E15" s="23">
        <v>112</v>
      </c>
      <c r="F15" s="20">
        <v>368</v>
      </c>
      <c r="G15" s="20">
        <v>18</v>
      </c>
      <c r="H15" s="23">
        <v>27</v>
      </c>
    </row>
    <row r="16" spans="1:9">
      <c r="A16" s="14"/>
      <c r="B16" s="11" t="s">
        <v>20</v>
      </c>
      <c r="C16" s="10" t="s">
        <v>21</v>
      </c>
      <c r="D16" s="26">
        <f>D17+D18</f>
        <v>183</v>
      </c>
      <c r="E16" s="12">
        <f>E17+E18</f>
        <v>61</v>
      </c>
      <c r="F16" s="14"/>
      <c r="G16" s="14"/>
      <c r="H16" s="13"/>
      <c r="I16" s="37"/>
    </row>
    <row r="17" spans="1:9">
      <c r="A17" s="20">
        <v>7</v>
      </c>
      <c r="B17" s="25" t="s">
        <v>21</v>
      </c>
      <c r="C17" s="21"/>
      <c r="D17" s="22">
        <v>13</v>
      </c>
      <c r="E17" s="23">
        <v>4</v>
      </c>
      <c r="F17" s="23">
        <v>495</v>
      </c>
      <c r="G17" s="23">
        <v>115</v>
      </c>
      <c r="H17" s="23"/>
    </row>
    <row r="18" spans="1:9">
      <c r="A18" s="20">
        <v>8</v>
      </c>
      <c r="B18" s="25" t="s">
        <v>22</v>
      </c>
      <c r="C18" s="21"/>
      <c r="D18" s="22">
        <v>170</v>
      </c>
      <c r="E18" s="23">
        <v>57</v>
      </c>
      <c r="F18" s="20">
        <v>480</v>
      </c>
      <c r="G18" s="20">
        <v>100</v>
      </c>
      <c r="H18" s="23">
        <v>15</v>
      </c>
    </row>
    <row r="19" spans="1:9">
      <c r="A19" s="14"/>
      <c r="B19" s="11" t="s">
        <v>23</v>
      </c>
      <c r="C19" s="10" t="s">
        <v>24</v>
      </c>
      <c r="D19" s="19">
        <f>D20+D21+D22</f>
        <v>1434</v>
      </c>
      <c r="E19" s="19">
        <f>E20+E21+E22</f>
        <v>394</v>
      </c>
      <c r="F19" s="14"/>
      <c r="G19" s="14"/>
      <c r="H19" s="13"/>
      <c r="I19" s="37"/>
    </row>
    <row r="20" spans="1:9">
      <c r="A20" s="20">
        <v>9</v>
      </c>
      <c r="B20" s="25" t="s">
        <v>24</v>
      </c>
      <c r="C20" s="21"/>
      <c r="D20" s="27">
        <v>846</v>
      </c>
      <c r="E20" s="23">
        <v>246</v>
      </c>
      <c r="F20" s="20">
        <v>408</v>
      </c>
      <c r="G20" s="20">
        <v>58</v>
      </c>
      <c r="H20" s="23"/>
    </row>
    <row r="21" spans="1:9">
      <c r="A21" s="28">
        <v>10</v>
      </c>
      <c r="B21" s="29" t="s">
        <v>25</v>
      </c>
      <c r="C21" s="30"/>
      <c r="D21" s="22">
        <v>328</v>
      </c>
      <c r="E21" s="23">
        <v>89</v>
      </c>
      <c r="F21" s="20">
        <v>421</v>
      </c>
      <c r="G21" s="20">
        <v>71</v>
      </c>
      <c r="H21" s="23">
        <v>13</v>
      </c>
    </row>
    <row r="22" spans="1:9">
      <c r="A22" s="28">
        <v>11</v>
      </c>
      <c r="B22" s="29" t="s">
        <v>26</v>
      </c>
      <c r="C22" s="30"/>
      <c r="D22" s="22">
        <v>260</v>
      </c>
      <c r="E22" s="23">
        <v>59</v>
      </c>
      <c r="F22" s="20">
        <v>446</v>
      </c>
      <c r="G22" s="20">
        <v>96</v>
      </c>
      <c r="H22" s="23">
        <v>35</v>
      </c>
    </row>
    <row r="23" spans="1:9">
      <c r="A23" s="14"/>
      <c r="B23" s="11" t="s">
        <v>27</v>
      </c>
      <c r="C23" s="10" t="s">
        <v>28</v>
      </c>
      <c r="D23" s="26">
        <f>D24+D25</f>
        <v>331</v>
      </c>
      <c r="E23" s="12">
        <f>E24+E25</f>
        <v>75</v>
      </c>
      <c r="F23" s="14"/>
      <c r="G23" s="14"/>
      <c r="H23" s="13"/>
      <c r="I23" s="37"/>
    </row>
    <row r="24" spans="1:9">
      <c r="A24" s="20">
        <v>12</v>
      </c>
      <c r="B24" s="25" t="s">
        <v>28</v>
      </c>
      <c r="C24" s="21"/>
      <c r="D24" s="22">
        <v>212</v>
      </c>
      <c r="E24" s="23">
        <v>54</v>
      </c>
      <c r="F24" s="20">
        <v>550</v>
      </c>
      <c r="G24" s="20">
        <v>150</v>
      </c>
      <c r="H24" s="23"/>
    </row>
    <row r="25" spans="1:9">
      <c r="A25" s="20">
        <v>13</v>
      </c>
      <c r="B25" s="25" t="s">
        <v>29</v>
      </c>
      <c r="C25" s="21"/>
      <c r="D25" s="22">
        <v>119</v>
      </c>
      <c r="E25" s="23">
        <v>21</v>
      </c>
      <c r="F25" s="20">
        <v>525</v>
      </c>
      <c r="G25" s="20">
        <v>125</v>
      </c>
      <c r="H25" s="23">
        <v>25</v>
      </c>
    </row>
    <row r="26" spans="1:9">
      <c r="A26" s="31"/>
      <c r="B26" s="32" t="s">
        <v>30</v>
      </c>
      <c r="C26" s="33" t="s">
        <v>31</v>
      </c>
      <c r="D26" s="26">
        <f>D27+D28</f>
        <v>256</v>
      </c>
      <c r="E26" s="12">
        <f>E27+E28</f>
        <v>74</v>
      </c>
      <c r="F26" s="14"/>
      <c r="G26" s="14"/>
      <c r="H26" s="13"/>
      <c r="I26" s="37"/>
    </row>
    <row r="27" spans="1:9">
      <c r="A27" s="20">
        <v>14</v>
      </c>
      <c r="B27" s="25" t="s">
        <v>31</v>
      </c>
      <c r="C27" s="21"/>
      <c r="D27" s="22">
        <v>200</v>
      </c>
      <c r="E27" s="23">
        <v>50</v>
      </c>
      <c r="F27" s="20">
        <v>413</v>
      </c>
      <c r="G27" s="20">
        <v>60</v>
      </c>
      <c r="H27" s="23"/>
    </row>
    <row r="28" spans="1:9">
      <c r="A28" s="28">
        <v>15</v>
      </c>
      <c r="B28" s="29" t="s">
        <v>32</v>
      </c>
      <c r="C28" s="30"/>
      <c r="D28" s="22">
        <v>56</v>
      </c>
      <c r="E28" s="23">
        <v>24</v>
      </c>
      <c r="F28" s="20">
        <v>448</v>
      </c>
      <c r="G28" s="20">
        <v>104</v>
      </c>
      <c r="H28" s="23">
        <v>35</v>
      </c>
    </row>
    <row r="29" spans="1:9">
      <c r="A29" s="14"/>
      <c r="B29" s="11" t="s">
        <v>33</v>
      </c>
      <c r="C29" s="10" t="s">
        <v>34</v>
      </c>
      <c r="D29" s="26">
        <f>D30</f>
        <v>87</v>
      </c>
      <c r="E29" s="12">
        <f>E30</f>
        <v>31</v>
      </c>
      <c r="F29" s="14"/>
      <c r="G29" s="14"/>
      <c r="H29" s="13"/>
      <c r="I29" s="37"/>
    </row>
    <row r="30" spans="1:9">
      <c r="A30" s="28">
        <v>16</v>
      </c>
      <c r="B30" s="29" t="s">
        <v>34</v>
      </c>
      <c r="C30" s="30"/>
      <c r="D30" s="22">
        <v>87</v>
      </c>
      <c r="E30" s="23">
        <v>31</v>
      </c>
      <c r="F30" s="20">
        <v>505</v>
      </c>
      <c r="G30" s="20">
        <v>120</v>
      </c>
      <c r="H30" s="23"/>
    </row>
    <row r="31" spans="1:9">
      <c r="A31" s="31"/>
      <c r="B31" s="32" t="s">
        <v>35</v>
      </c>
      <c r="C31" s="33" t="s">
        <v>36</v>
      </c>
      <c r="D31" s="26">
        <f>D32+D33</f>
        <v>517</v>
      </c>
      <c r="E31" s="26">
        <f>E32+E33</f>
        <v>146</v>
      </c>
      <c r="F31" s="14"/>
      <c r="G31" s="14"/>
      <c r="H31" s="13"/>
      <c r="I31" s="37"/>
    </row>
    <row r="32" spans="1:9">
      <c r="A32" s="20">
        <v>17</v>
      </c>
      <c r="B32" s="25" t="s">
        <v>36</v>
      </c>
      <c r="C32" s="21"/>
      <c r="D32" s="22">
        <v>321</v>
      </c>
      <c r="E32" s="23">
        <v>89</v>
      </c>
      <c r="F32" s="20">
        <v>400</v>
      </c>
      <c r="G32" s="20">
        <v>50</v>
      </c>
      <c r="H32" s="23"/>
    </row>
    <row r="33" spans="1:9">
      <c r="A33" s="28">
        <v>18</v>
      </c>
      <c r="B33" s="29" t="s">
        <v>37</v>
      </c>
      <c r="C33" s="30"/>
      <c r="D33" s="22">
        <v>196</v>
      </c>
      <c r="E33" s="23">
        <v>57</v>
      </c>
      <c r="F33" s="20">
        <v>420</v>
      </c>
      <c r="G33" s="20">
        <v>70</v>
      </c>
      <c r="H33" s="23">
        <v>20</v>
      </c>
    </row>
    <row r="34" spans="1:9">
      <c r="A34" s="31"/>
      <c r="B34" s="32" t="s">
        <v>38</v>
      </c>
      <c r="C34" s="33" t="s">
        <v>39</v>
      </c>
      <c r="D34" s="26">
        <f>D35+D36+D37</f>
        <v>1159</v>
      </c>
      <c r="E34" s="12">
        <f>E35+E36+E37</f>
        <v>253</v>
      </c>
      <c r="F34" s="14"/>
      <c r="G34" s="14"/>
      <c r="H34" s="13"/>
      <c r="I34" s="37"/>
    </row>
    <row r="35" spans="1:9">
      <c r="A35" s="20">
        <v>19</v>
      </c>
      <c r="B35" s="25" t="s">
        <v>39</v>
      </c>
      <c r="C35" s="21"/>
      <c r="D35" s="22">
        <v>788</v>
      </c>
      <c r="E35" s="23">
        <v>169</v>
      </c>
      <c r="F35" s="20">
        <v>530</v>
      </c>
      <c r="G35" s="20">
        <v>190</v>
      </c>
      <c r="H35" s="23"/>
    </row>
    <row r="36" spans="1:9">
      <c r="A36" s="20">
        <v>20</v>
      </c>
      <c r="B36" s="25" t="s">
        <v>40</v>
      </c>
      <c r="C36" s="21"/>
      <c r="D36" s="22">
        <v>225</v>
      </c>
      <c r="E36" s="23">
        <v>48</v>
      </c>
      <c r="F36" s="20">
        <v>525</v>
      </c>
      <c r="G36" s="20">
        <v>197</v>
      </c>
      <c r="H36" s="23">
        <v>5</v>
      </c>
    </row>
    <row r="37" spans="1:9">
      <c r="A37" s="20">
        <v>21</v>
      </c>
      <c r="B37" s="25" t="s">
        <v>41</v>
      </c>
      <c r="C37" s="21"/>
      <c r="D37" s="22">
        <v>146</v>
      </c>
      <c r="E37" s="23">
        <v>36</v>
      </c>
      <c r="F37" s="20">
        <v>537</v>
      </c>
      <c r="G37" s="20">
        <v>225</v>
      </c>
      <c r="H37" s="23">
        <v>18</v>
      </c>
    </row>
    <row r="38" spans="1:9">
      <c r="A38" s="31"/>
      <c r="B38" s="32" t="s">
        <v>42</v>
      </c>
      <c r="C38" s="33" t="s">
        <v>43</v>
      </c>
      <c r="D38" s="19">
        <f>D39+D40</f>
        <v>691</v>
      </c>
      <c r="E38" s="12">
        <f>E39+E40</f>
        <v>201</v>
      </c>
      <c r="F38" s="14"/>
      <c r="G38" s="14"/>
      <c r="H38" s="13"/>
      <c r="I38" s="37"/>
    </row>
    <row r="39" spans="1:9">
      <c r="A39" s="20">
        <v>22</v>
      </c>
      <c r="B39" s="25" t="s">
        <v>43</v>
      </c>
      <c r="C39" s="21"/>
      <c r="D39" s="22">
        <v>346</v>
      </c>
      <c r="E39" s="23">
        <v>101</v>
      </c>
      <c r="F39" s="20">
        <v>368</v>
      </c>
      <c r="G39" s="20">
        <v>18</v>
      </c>
      <c r="H39" s="23"/>
    </row>
    <row r="40" spans="1:9">
      <c r="A40" s="28">
        <v>23</v>
      </c>
      <c r="B40" s="29" t="s">
        <v>44</v>
      </c>
      <c r="C40" s="30"/>
      <c r="D40" s="22">
        <v>345</v>
      </c>
      <c r="E40" s="23">
        <v>100</v>
      </c>
      <c r="F40" s="20">
        <v>387</v>
      </c>
      <c r="G40" s="20">
        <v>37</v>
      </c>
      <c r="H40" s="23">
        <v>19</v>
      </c>
    </row>
    <row r="41" spans="1:9">
      <c r="A41" s="14"/>
      <c r="B41" s="11" t="s">
        <v>45</v>
      </c>
      <c r="C41" s="10" t="s">
        <v>46</v>
      </c>
      <c r="D41" s="19">
        <f>D42</f>
        <v>5602</v>
      </c>
      <c r="E41" s="19">
        <f>E42</f>
        <v>1664</v>
      </c>
      <c r="F41" s="14"/>
      <c r="G41" s="14"/>
      <c r="H41" s="13"/>
    </row>
    <row r="42" spans="1:9">
      <c r="A42" s="20">
        <v>24</v>
      </c>
      <c r="B42" s="25" t="s">
        <v>46</v>
      </c>
      <c r="C42" s="21"/>
      <c r="D42" s="27">
        <v>5602</v>
      </c>
      <c r="E42" s="23">
        <v>1664</v>
      </c>
      <c r="F42" s="20">
        <v>350</v>
      </c>
      <c r="G42" s="20"/>
      <c r="H42" s="23"/>
    </row>
    <row r="43" spans="1:9">
      <c r="A43" s="20"/>
      <c r="B43" s="34" t="s">
        <v>47</v>
      </c>
      <c r="C43" s="35"/>
      <c r="D43" s="19">
        <f>D41+D38+D34+D31+D29+D26+D23+D19+D16+D12+D8</f>
        <v>11881</v>
      </c>
      <c r="E43" s="36">
        <f>E8+E12+E16+E19+E23+E26+E29+E31+E34+E38+E41</f>
        <v>3428</v>
      </c>
      <c r="F43" s="20"/>
      <c r="G43" s="20"/>
      <c r="H43" s="23"/>
    </row>
  </sheetData>
  <mergeCells count="10">
    <mergeCell ref="A1:H1"/>
    <mergeCell ref="A2:H2"/>
    <mergeCell ref="A3:H3"/>
    <mergeCell ref="F5:H5"/>
    <mergeCell ref="B43:C43"/>
    <mergeCell ref="A5:A6"/>
    <mergeCell ref="B5:B6"/>
    <mergeCell ref="C5:C6"/>
    <mergeCell ref="D5:D6"/>
    <mergeCell ref="E5:E6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3"/>
  <sheetViews>
    <sheetView zoomScale="70" zoomScaleNormal="70" topLeftCell="A10" workbookViewId="0">
      <selection activeCell="A1" sqref="A1:H43"/>
    </sheetView>
  </sheetViews>
  <sheetFormatPr defaultColWidth="9.14285714285714" defaultRowHeight="15"/>
  <cols>
    <col min="1" max="1" width="6" customWidth="1"/>
    <col min="2" max="2" width="16.2857142857143" customWidth="1"/>
    <col min="3" max="3" width="14.1428571428571" customWidth="1"/>
    <col min="4" max="5" width="13.8571428571429" customWidth="1"/>
    <col min="6" max="6" width="11.8571428571429" customWidth="1"/>
    <col min="7" max="7" width="11.4285714285714" customWidth="1"/>
    <col min="8" max="8" width="11.5714285714286" customWidth="1"/>
    <col min="9" max="10" width="9.14285714285714" hidden="1" customWidth="1"/>
  </cols>
  <sheetData>
    <row r="1" customFormat="1" ht="15.75" spans="1:10">
      <c r="A1" s="1" t="s">
        <v>0</v>
      </c>
      <c r="B1" s="1"/>
      <c r="C1" s="1"/>
      <c r="D1" s="1"/>
      <c r="E1" s="1"/>
      <c r="F1" s="1"/>
      <c r="G1" s="1"/>
      <c r="H1" s="1"/>
    </row>
    <row r="2" customFormat="1" ht="15.75" spans="1:10">
      <c r="A2" s="1" t="s">
        <v>1</v>
      </c>
      <c r="B2" s="1"/>
      <c r="C2" s="1"/>
      <c r="D2" s="1"/>
      <c r="E2" s="1"/>
      <c r="F2" s="1"/>
      <c r="G2" s="1"/>
      <c r="H2" s="1"/>
    </row>
    <row r="3" customFormat="1" ht="15.75" spans="1:10">
      <c r="A3" s="1" t="s">
        <v>53</v>
      </c>
      <c r="B3" s="1"/>
      <c r="C3" s="1"/>
      <c r="D3" s="1"/>
      <c r="E3" s="1"/>
      <c r="F3" s="1"/>
      <c r="G3" s="1"/>
      <c r="H3" s="1"/>
    </row>
    <row r="4" customFormat="1" spans="1:10">
      <c r="A4" s="2"/>
      <c r="B4" s="2"/>
      <c r="C4" s="2"/>
      <c r="D4" s="2"/>
      <c r="E4" s="2"/>
      <c r="F4" s="2"/>
      <c r="G4" s="2"/>
      <c r="H4" s="2"/>
    </row>
    <row r="5" customFormat="1" spans="1:10">
      <c r="A5" s="3" t="s">
        <v>3</v>
      </c>
      <c r="B5" s="3" t="s">
        <v>4</v>
      </c>
      <c r="C5" s="3" t="s">
        <v>5</v>
      </c>
      <c r="D5" s="4" t="s">
        <v>6</v>
      </c>
      <c r="E5" s="4" t="s">
        <v>49</v>
      </c>
      <c r="F5" s="5" t="s">
        <v>8</v>
      </c>
      <c r="G5" s="5"/>
      <c r="H5" s="5"/>
    </row>
    <row r="6" customFormat="1" ht="36" spans="1:10">
      <c r="A6" s="3"/>
      <c r="B6" s="3"/>
      <c r="C6" s="3"/>
      <c r="D6" s="6"/>
      <c r="E6" s="7"/>
      <c r="F6" s="8" t="s">
        <v>9</v>
      </c>
      <c r="G6" s="8" t="s">
        <v>10</v>
      </c>
      <c r="H6" s="8" t="s">
        <v>11</v>
      </c>
    </row>
    <row r="7" customFormat="1" spans="1:10">
      <c r="A7" s="9">
        <v>1</v>
      </c>
      <c r="B7" s="9">
        <v>2</v>
      </c>
      <c r="C7" s="9">
        <v>3</v>
      </c>
      <c r="D7" s="9">
        <v>4</v>
      </c>
      <c r="E7" s="9">
        <v>5</v>
      </c>
      <c r="F7" s="9">
        <v>6</v>
      </c>
      <c r="G7" s="9">
        <v>7</v>
      </c>
      <c r="H7" s="9">
        <v>8</v>
      </c>
    </row>
    <row r="8" spans="1:10">
      <c r="A8" s="10"/>
      <c r="B8" s="11" t="s">
        <v>12</v>
      </c>
      <c r="C8" s="10" t="s">
        <v>13</v>
      </c>
      <c r="D8" s="12">
        <f>D9+D10+D11</f>
        <v>798</v>
      </c>
      <c r="E8" s="12">
        <f>E9+E10+E11</f>
        <v>226</v>
      </c>
      <c r="F8" s="13"/>
      <c r="G8" s="14"/>
      <c r="H8" s="13"/>
      <c r="I8" s="37"/>
      <c r="J8" s="37"/>
    </row>
    <row r="9" customFormat="1" spans="1:10">
      <c r="A9" s="15">
        <v>1</v>
      </c>
      <c r="B9" s="16" t="s">
        <v>13</v>
      </c>
      <c r="C9" s="16"/>
      <c r="D9" s="17">
        <v>412</v>
      </c>
      <c r="E9" s="17">
        <v>116</v>
      </c>
      <c r="F9" s="17">
        <v>378</v>
      </c>
      <c r="G9" s="15">
        <v>28</v>
      </c>
      <c r="H9" s="17"/>
    </row>
    <row r="10" customFormat="1" spans="1:10">
      <c r="A10" s="15">
        <v>2</v>
      </c>
      <c r="B10" s="18" t="s">
        <v>14</v>
      </c>
      <c r="C10" s="16"/>
      <c r="D10" s="15">
        <v>154</v>
      </c>
      <c r="E10" s="17">
        <v>34</v>
      </c>
      <c r="F10" s="15">
        <v>390</v>
      </c>
      <c r="G10" s="15">
        <v>40</v>
      </c>
      <c r="H10" s="17">
        <v>12</v>
      </c>
    </row>
    <row r="11" customFormat="1" spans="1:10">
      <c r="A11" s="15">
        <v>3</v>
      </c>
      <c r="B11" s="18" t="s">
        <v>15</v>
      </c>
      <c r="C11" s="18"/>
      <c r="D11" s="15">
        <v>232</v>
      </c>
      <c r="E11" s="17">
        <v>76</v>
      </c>
      <c r="F11" s="15">
        <v>410</v>
      </c>
      <c r="G11" s="15">
        <v>60</v>
      </c>
      <c r="H11" s="17">
        <v>32</v>
      </c>
    </row>
    <row r="12" spans="1:10">
      <c r="A12" s="14"/>
      <c r="B12" s="11" t="s">
        <v>16</v>
      </c>
      <c r="C12" s="10" t="s">
        <v>17</v>
      </c>
      <c r="D12" s="19">
        <f>D13+D14+D15</f>
        <v>789</v>
      </c>
      <c r="E12" s="12">
        <f>E13+E14+E15</f>
        <v>303</v>
      </c>
      <c r="F12" s="14"/>
      <c r="G12" s="14"/>
      <c r="H12" s="13"/>
      <c r="I12" s="37"/>
      <c r="J12" s="37"/>
    </row>
    <row r="13" customFormat="1" spans="1:10">
      <c r="A13" s="20">
        <v>4</v>
      </c>
      <c r="B13" s="21" t="s">
        <v>17</v>
      </c>
      <c r="C13" s="21"/>
      <c r="D13" s="22">
        <v>434</v>
      </c>
      <c r="E13" s="23">
        <v>158</v>
      </c>
      <c r="F13" s="23">
        <v>395</v>
      </c>
      <c r="G13" s="23">
        <v>45</v>
      </c>
      <c r="H13" s="24"/>
    </row>
    <row r="14" customFormat="1" spans="1:10">
      <c r="A14" s="20">
        <v>5</v>
      </c>
      <c r="B14" s="25" t="s">
        <v>18</v>
      </c>
      <c r="C14" s="21"/>
      <c r="D14" s="22">
        <v>67</v>
      </c>
      <c r="E14" s="23">
        <v>33</v>
      </c>
      <c r="F14" s="20">
        <v>403</v>
      </c>
      <c r="G14" s="20">
        <v>53</v>
      </c>
      <c r="H14" s="23">
        <v>8</v>
      </c>
    </row>
    <row r="15" customFormat="1" spans="1:10">
      <c r="A15" s="20">
        <v>6</v>
      </c>
      <c r="B15" s="25" t="s">
        <v>19</v>
      </c>
      <c r="C15" s="21"/>
      <c r="D15" s="22">
        <v>288</v>
      </c>
      <c r="E15" s="23">
        <v>112</v>
      </c>
      <c r="F15" s="20">
        <v>368</v>
      </c>
      <c r="G15" s="20">
        <v>18</v>
      </c>
      <c r="H15" s="23">
        <v>27</v>
      </c>
    </row>
    <row r="16" spans="1:10">
      <c r="A16" s="14"/>
      <c r="B16" s="11" t="s">
        <v>20</v>
      </c>
      <c r="C16" s="10" t="s">
        <v>21</v>
      </c>
      <c r="D16" s="26">
        <f>D17+D18</f>
        <v>184</v>
      </c>
      <c r="E16" s="12">
        <f>E17+E18</f>
        <v>61</v>
      </c>
      <c r="F16" s="14"/>
      <c r="G16" s="14"/>
      <c r="H16" s="13"/>
      <c r="I16" s="37"/>
      <c r="J16" s="37"/>
    </row>
    <row r="17" customFormat="1" spans="1:10">
      <c r="A17" s="20">
        <v>7</v>
      </c>
      <c r="B17" s="25" t="s">
        <v>21</v>
      </c>
      <c r="C17" s="21"/>
      <c r="D17" s="22">
        <v>13</v>
      </c>
      <c r="E17" s="23">
        <v>4</v>
      </c>
      <c r="F17" s="23">
        <v>495</v>
      </c>
      <c r="G17" s="23">
        <v>115</v>
      </c>
      <c r="H17" s="23"/>
    </row>
    <row r="18" customFormat="1" spans="1:10">
      <c r="A18" s="20">
        <v>8</v>
      </c>
      <c r="B18" s="25" t="s">
        <v>22</v>
      </c>
      <c r="C18" s="21"/>
      <c r="D18" s="22">
        <v>171</v>
      </c>
      <c r="E18" s="23">
        <v>57</v>
      </c>
      <c r="F18" s="20">
        <v>480</v>
      </c>
      <c r="G18" s="20">
        <v>100</v>
      </c>
      <c r="H18" s="23">
        <v>15</v>
      </c>
    </row>
    <row r="19" spans="1:10">
      <c r="A19" s="14"/>
      <c r="B19" s="11" t="s">
        <v>23</v>
      </c>
      <c r="C19" s="10" t="s">
        <v>24</v>
      </c>
      <c r="D19" s="19">
        <f>D20+D21+D22</f>
        <v>1434</v>
      </c>
      <c r="E19" s="19">
        <f>E20+E21+E22</f>
        <v>394</v>
      </c>
      <c r="F19" s="14"/>
      <c r="G19" s="14"/>
      <c r="H19" s="13"/>
      <c r="I19" s="37"/>
      <c r="J19" s="37"/>
    </row>
    <row r="20" customFormat="1" spans="1:10">
      <c r="A20" s="20">
        <v>9</v>
      </c>
      <c r="B20" s="25" t="s">
        <v>24</v>
      </c>
      <c r="C20" s="21"/>
      <c r="D20" s="27">
        <v>846</v>
      </c>
      <c r="E20" s="23">
        <v>246</v>
      </c>
      <c r="F20" s="20">
        <v>408</v>
      </c>
      <c r="G20" s="20">
        <v>58</v>
      </c>
      <c r="H20" s="23"/>
    </row>
    <row r="21" customFormat="1" spans="1:10">
      <c r="A21" s="28">
        <v>10</v>
      </c>
      <c r="B21" s="29" t="s">
        <v>25</v>
      </c>
      <c r="C21" s="30"/>
      <c r="D21" s="22">
        <v>328</v>
      </c>
      <c r="E21" s="23">
        <v>89</v>
      </c>
      <c r="F21" s="20">
        <v>421</v>
      </c>
      <c r="G21" s="20">
        <v>71</v>
      </c>
      <c r="H21" s="23">
        <v>13</v>
      </c>
    </row>
    <row r="22" customFormat="1" spans="1:10">
      <c r="A22" s="28">
        <v>11</v>
      </c>
      <c r="B22" s="29" t="s">
        <v>26</v>
      </c>
      <c r="C22" s="30"/>
      <c r="D22" s="22">
        <v>260</v>
      </c>
      <c r="E22" s="23">
        <v>59</v>
      </c>
      <c r="F22" s="20">
        <v>446</v>
      </c>
      <c r="G22" s="20">
        <v>96</v>
      </c>
      <c r="H22" s="23">
        <v>35</v>
      </c>
    </row>
    <row r="23" spans="1:10">
      <c r="A23" s="14"/>
      <c r="B23" s="11" t="s">
        <v>27</v>
      </c>
      <c r="C23" s="10" t="s">
        <v>28</v>
      </c>
      <c r="D23" s="26">
        <f>D24+D25</f>
        <v>306</v>
      </c>
      <c r="E23" s="12">
        <f>E24+E25</f>
        <v>75</v>
      </c>
      <c r="F23" s="14"/>
      <c r="G23" s="14"/>
      <c r="H23" s="13"/>
      <c r="I23" s="37"/>
      <c r="J23" s="37"/>
    </row>
    <row r="24" customFormat="1" spans="1:10">
      <c r="A24" s="20">
        <v>12</v>
      </c>
      <c r="B24" s="25" t="s">
        <v>28</v>
      </c>
      <c r="C24" s="21"/>
      <c r="D24" s="22">
        <v>207</v>
      </c>
      <c r="E24" s="23">
        <v>54</v>
      </c>
      <c r="F24" s="20">
        <v>550</v>
      </c>
      <c r="G24" s="20">
        <v>150</v>
      </c>
      <c r="H24" s="23"/>
    </row>
    <row r="25" customFormat="1" spans="1:10">
      <c r="A25" s="20">
        <v>13</v>
      </c>
      <c r="B25" s="25" t="s">
        <v>29</v>
      </c>
      <c r="C25" s="21"/>
      <c r="D25" s="22">
        <v>99</v>
      </c>
      <c r="E25" s="23">
        <v>21</v>
      </c>
      <c r="F25" s="20">
        <v>525</v>
      </c>
      <c r="G25" s="20">
        <v>125</v>
      </c>
      <c r="H25" s="23">
        <v>25</v>
      </c>
    </row>
    <row r="26" spans="1:10">
      <c r="A26" s="31"/>
      <c r="B26" s="32" t="s">
        <v>30</v>
      </c>
      <c r="C26" s="33" t="s">
        <v>31</v>
      </c>
      <c r="D26" s="26">
        <f>D27+D28</f>
        <v>256</v>
      </c>
      <c r="E26" s="12">
        <f>E27+E28</f>
        <v>74</v>
      </c>
      <c r="F26" s="14"/>
      <c r="G26" s="14"/>
      <c r="H26" s="13"/>
      <c r="I26" s="37"/>
      <c r="J26" s="37"/>
    </row>
    <row r="27" customFormat="1" spans="1:10">
      <c r="A27" s="20">
        <v>14</v>
      </c>
      <c r="B27" s="25" t="s">
        <v>31</v>
      </c>
      <c r="C27" s="21"/>
      <c r="D27" s="22">
        <v>200</v>
      </c>
      <c r="E27" s="23">
        <v>50</v>
      </c>
      <c r="F27" s="20">
        <v>413</v>
      </c>
      <c r="G27" s="20">
        <v>60</v>
      </c>
      <c r="H27" s="23"/>
    </row>
    <row r="28" customFormat="1" spans="1:10">
      <c r="A28" s="28">
        <v>15</v>
      </c>
      <c r="B28" s="29" t="s">
        <v>32</v>
      </c>
      <c r="C28" s="30"/>
      <c r="D28" s="22">
        <v>56</v>
      </c>
      <c r="E28" s="23">
        <v>24</v>
      </c>
      <c r="F28" s="20">
        <v>448</v>
      </c>
      <c r="G28" s="20">
        <v>104</v>
      </c>
      <c r="H28" s="23">
        <v>35</v>
      </c>
    </row>
    <row r="29" spans="1:10">
      <c r="A29" s="14"/>
      <c r="B29" s="11" t="s">
        <v>33</v>
      </c>
      <c r="C29" s="10" t="s">
        <v>34</v>
      </c>
      <c r="D29" s="26">
        <f>D30</f>
        <v>94</v>
      </c>
      <c r="E29" s="12">
        <f>E30</f>
        <v>33</v>
      </c>
      <c r="F29" s="14"/>
      <c r="G29" s="14"/>
      <c r="H29" s="13"/>
      <c r="I29" s="37"/>
      <c r="J29" s="37"/>
    </row>
    <row r="30" customFormat="1" spans="1:10">
      <c r="A30" s="28">
        <v>16</v>
      </c>
      <c r="B30" s="29" t="s">
        <v>34</v>
      </c>
      <c r="C30" s="30"/>
      <c r="D30" s="22">
        <v>94</v>
      </c>
      <c r="E30" s="23">
        <v>33</v>
      </c>
      <c r="F30" s="20">
        <v>505</v>
      </c>
      <c r="G30" s="20">
        <v>120</v>
      </c>
      <c r="H30" s="23"/>
    </row>
    <row r="31" spans="1:10">
      <c r="A31" s="31"/>
      <c r="B31" s="32" t="s">
        <v>35</v>
      </c>
      <c r="C31" s="33" t="s">
        <v>36</v>
      </c>
      <c r="D31" s="26">
        <f>D32+D33</f>
        <v>508</v>
      </c>
      <c r="E31" s="26">
        <f>E32+E33</f>
        <v>145</v>
      </c>
      <c r="F31" s="14"/>
      <c r="G31" s="14"/>
      <c r="H31" s="13"/>
      <c r="I31" s="37"/>
      <c r="J31" s="37"/>
    </row>
    <row r="32" customFormat="1" spans="1:10">
      <c r="A32" s="20">
        <v>17</v>
      </c>
      <c r="B32" s="25" t="s">
        <v>36</v>
      </c>
      <c r="C32" s="21"/>
      <c r="D32" s="22">
        <v>318</v>
      </c>
      <c r="E32" s="23">
        <v>89</v>
      </c>
      <c r="F32" s="20">
        <v>400</v>
      </c>
      <c r="G32" s="20">
        <v>50</v>
      </c>
      <c r="H32" s="23"/>
    </row>
    <row r="33" customFormat="1" spans="1:10">
      <c r="A33" s="28">
        <v>18</v>
      </c>
      <c r="B33" s="29" t="s">
        <v>37</v>
      </c>
      <c r="C33" s="30"/>
      <c r="D33" s="22">
        <v>190</v>
      </c>
      <c r="E33" s="23">
        <v>56</v>
      </c>
      <c r="F33" s="20">
        <v>420</v>
      </c>
      <c r="G33" s="20">
        <v>70</v>
      </c>
      <c r="H33" s="23">
        <v>20</v>
      </c>
    </row>
    <row r="34" spans="1:10">
      <c r="A34" s="31"/>
      <c r="B34" s="32" t="s">
        <v>38</v>
      </c>
      <c r="C34" s="33" t="s">
        <v>39</v>
      </c>
      <c r="D34" s="26">
        <f>D35+D36+D37</f>
        <v>1151</v>
      </c>
      <c r="E34" s="12">
        <f>E35+E36+E37</f>
        <v>253</v>
      </c>
      <c r="F34" s="14"/>
      <c r="G34" s="14"/>
      <c r="H34" s="13"/>
      <c r="I34" s="37"/>
      <c r="J34" s="37"/>
    </row>
    <row r="35" customFormat="1" spans="1:10">
      <c r="A35" s="20">
        <v>19</v>
      </c>
      <c r="B35" s="25" t="s">
        <v>39</v>
      </c>
      <c r="C35" s="21"/>
      <c r="D35" s="22">
        <v>783</v>
      </c>
      <c r="E35" s="23">
        <v>169</v>
      </c>
      <c r="F35" s="20">
        <v>530</v>
      </c>
      <c r="G35" s="20">
        <v>190</v>
      </c>
      <c r="H35" s="23"/>
    </row>
    <row r="36" customFormat="1" spans="1:10">
      <c r="A36" s="20">
        <v>20</v>
      </c>
      <c r="B36" s="25" t="s">
        <v>40</v>
      </c>
      <c r="C36" s="21"/>
      <c r="D36" s="22">
        <v>223</v>
      </c>
      <c r="E36" s="23">
        <v>48</v>
      </c>
      <c r="F36" s="20">
        <v>525</v>
      </c>
      <c r="G36" s="20">
        <v>197</v>
      </c>
      <c r="H36" s="23">
        <v>5</v>
      </c>
    </row>
    <row r="37" customFormat="1" spans="1:10">
      <c r="A37" s="20">
        <v>21</v>
      </c>
      <c r="B37" s="25" t="s">
        <v>41</v>
      </c>
      <c r="C37" s="21"/>
      <c r="D37" s="22">
        <v>145</v>
      </c>
      <c r="E37" s="23">
        <v>36</v>
      </c>
      <c r="F37" s="20">
        <v>537</v>
      </c>
      <c r="G37" s="20">
        <v>225</v>
      </c>
      <c r="H37" s="23">
        <v>18</v>
      </c>
    </row>
    <row r="38" spans="1:10">
      <c r="A38" s="31"/>
      <c r="B38" s="32" t="s">
        <v>42</v>
      </c>
      <c r="C38" s="33" t="s">
        <v>43</v>
      </c>
      <c r="D38" s="19">
        <f>D39+D40</f>
        <v>691</v>
      </c>
      <c r="E38" s="12">
        <f>E39+E40</f>
        <v>201</v>
      </c>
      <c r="F38" s="14"/>
      <c r="G38" s="14"/>
      <c r="H38" s="13"/>
      <c r="I38" s="37"/>
      <c r="J38" s="37"/>
    </row>
    <row r="39" customFormat="1" spans="1:10">
      <c r="A39" s="20">
        <v>22</v>
      </c>
      <c r="B39" s="25" t="s">
        <v>43</v>
      </c>
      <c r="C39" s="21"/>
      <c r="D39" s="22">
        <v>346</v>
      </c>
      <c r="E39" s="23">
        <v>101</v>
      </c>
      <c r="F39" s="20">
        <v>368</v>
      </c>
      <c r="G39" s="20">
        <v>18</v>
      </c>
      <c r="H39" s="23"/>
    </row>
    <row r="40" customFormat="1" spans="1:10">
      <c r="A40" s="28">
        <v>23</v>
      </c>
      <c r="B40" s="29" t="s">
        <v>44</v>
      </c>
      <c r="C40" s="30"/>
      <c r="D40" s="22">
        <v>345</v>
      </c>
      <c r="E40" s="23">
        <v>100</v>
      </c>
      <c r="F40" s="20">
        <v>387</v>
      </c>
      <c r="G40" s="20">
        <v>37</v>
      </c>
      <c r="H40" s="23">
        <v>19</v>
      </c>
    </row>
    <row r="41" customFormat="1" spans="1:10">
      <c r="A41" s="14"/>
      <c r="B41" s="11" t="s">
        <v>45</v>
      </c>
      <c r="C41" s="10" t="s">
        <v>46</v>
      </c>
      <c r="D41" s="19">
        <f>D42</f>
        <v>5602</v>
      </c>
      <c r="E41" s="19">
        <f>E42</f>
        <v>1664</v>
      </c>
      <c r="F41" s="14"/>
      <c r="G41" s="14"/>
      <c r="H41" s="13"/>
      <c r="J41" s="37"/>
    </row>
    <row r="42" customFormat="1" spans="1:10">
      <c r="A42" s="20">
        <v>24</v>
      </c>
      <c r="B42" s="25" t="s">
        <v>46</v>
      </c>
      <c r="C42" s="21"/>
      <c r="D42" s="27">
        <v>5602</v>
      </c>
      <c r="E42" s="23">
        <v>1664</v>
      </c>
      <c r="F42" s="20">
        <v>350</v>
      </c>
      <c r="G42" s="20"/>
      <c r="H42" s="23"/>
    </row>
    <row r="43" customFormat="1" spans="1:10">
      <c r="A43" s="20"/>
      <c r="B43" s="34" t="s">
        <v>47</v>
      </c>
      <c r="C43" s="35"/>
      <c r="D43" s="19">
        <f>D41+D38+D34+D31+D29+D26+D23+D19+D16+D12+D8</f>
        <v>11813</v>
      </c>
      <c r="E43" s="36">
        <f>E8+E12+E16+E19+E23+E26+E29+E31+E34+E38+E41</f>
        <v>3429</v>
      </c>
      <c r="F43" s="20"/>
      <c r="G43" s="20"/>
      <c r="H43" s="23"/>
    </row>
  </sheetData>
  <mergeCells count="10">
    <mergeCell ref="A1:H1"/>
    <mergeCell ref="A2:H2"/>
    <mergeCell ref="A3:H3"/>
    <mergeCell ref="F5:H5"/>
    <mergeCell ref="B43:C43"/>
    <mergeCell ref="A5:A6"/>
    <mergeCell ref="B5:B6"/>
    <mergeCell ref="C5:C6"/>
    <mergeCell ref="D5:D6"/>
    <mergeCell ref="E5:E6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3"/>
  <sheetViews>
    <sheetView zoomScale="70" zoomScaleNormal="70" workbookViewId="0">
      <selection activeCell="A1" sqref="$A1:$XFD1048576"/>
    </sheetView>
  </sheetViews>
  <sheetFormatPr defaultColWidth="9.14285714285714" defaultRowHeight="15" outlineLevelCol="7"/>
  <cols>
    <col min="1" max="1" width="6" customWidth="1"/>
    <col min="2" max="2" width="16.2857142857143" customWidth="1"/>
    <col min="3" max="3" width="14.1428571428571" customWidth="1"/>
    <col min="4" max="5" width="13.8571428571429" customWidth="1"/>
    <col min="6" max="6" width="11.8571428571429" customWidth="1"/>
    <col min="7" max="7" width="11.4285714285714" customWidth="1"/>
    <col min="8" max="8" width="11.5714285714286" customWidth="1"/>
  </cols>
  <sheetData>
    <row r="1" ht="15.75" spans="1:8">
      <c r="A1" s="1" t="s">
        <v>0</v>
      </c>
      <c r="B1" s="1"/>
      <c r="C1" s="1"/>
      <c r="D1" s="1"/>
      <c r="E1" s="1"/>
      <c r="F1" s="1"/>
      <c r="G1" s="1"/>
      <c r="H1" s="1"/>
    </row>
    <row r="2" ht="15.75" spans="1:8">
      <c r="A2" s="1" t="s">
        <v>1</v>
      </c>
      <c r="B2" s="1"/>
      <c r="C2" s="1"/>
      <c r="D2" s="1"/>
      <c r="E2" s="1"/>
      <c r="F2" s="1"/>
      <c r="G2" s="1"/>
      <c r="H2" s="1"/>
    </row>
    <row r="3" ht="15.75" spans="1:8">
      <c r="A3" s="1" t="s">
        <v>54</v>
      </c>
      <c r="B3" s="1"/>
      <c r="C3" s="1"/>
      <c r="D3" s="1"/>
      <c r="E3" s="1"/>
      <c r="F3" s="1"/>
      <c r="G3" s="1"/>
      <c r="H3" s="1"/>
    </row>
    <row r="4" spans="1:8">
      <c r="A4" s="2"/>
      <c r="B4" s="2"/>
      <c r="C4" s="2"/>
      <c r="D4" s="2"/>
      <c r="E4" s="2"/>
      <c r="F4" s="2"/>
      <c r="G4" s="2"/>
      <c r="H4" s="2"/>
    </row>
    <row r="5" spans="1:8">
      <c r="A5" s="3" t="s">
        <v>3</v>
      </c>
      <c r="B5" s="3" t="s">
        <v>4</v>
      </c>
      <c r="C5" s="3" t="s">
        <v>5</v>
      </c>
      <c r="D5" s="4" t="s">
        <v>6</v>
      </c>
      <c r="E5" s="4" t="s">
        <v>49</v>
      </c>
      <c r="F5" s="5" t="s">
        <v>8</v>
      </c>
      <c r="G5" s="5"/>
      <c r="H5" s="5"/>
    </row>
    <row r="6" ht="36" spans="1:8">
      <c r="A6" s="3"/>
      <c r="B6" s="3"/>
      <c r="C6" s="3"/>
      <c r="D6" s="6"/>
      <c r="E6" s="7"/>
      <c r="F6" s="8" t="s">
        <v>9</v>
      </c>
      <c r="G6" s="8" t="s">
        <v>10</v>
      </c>
      <c r="H6" s="8" t="s">
        <v>11</v>
      </c>
    </row>
    <row r="7" spans="1:8">
      <c r="A7" s="9">
        <v>1</v>
      </c>
      <c r="B7" s="9">
        <v>2</v>
      </c>
      <c r="C7" s="9">
        <v>3</v>
      </c>
      <c r="D7" s="9">
        <v>4</v>
      </c>
      <c r="E7" s="9">
        <v>5</v>
      </c>
      <c r="F7" s="9">
        <v>6</v>
      </c>
      <c r="G7" s="9">
        <v>7</v>
      </c>
      <c r="H7" s="9">
        <v>8</v>
      </c>
    </row>
    <row r="8" spans="1:8">
      <c r="A8" s="10"/>
      <c r="B8" s="11" t="s">
        <v>12</v>
      </c>
      <c r="C8" s="10" t="s">
        <v>13</v>
      </c>
      <c r="D8" s="12">
        <f>D9+D10+D11</f>
        <v>801</v>
      </c>
      <c r="E8" s="12">
        <f>E9+E10+E11</f>
        <v>226</v>
      </c>
      <c r="F8" s="13"/>
      <c r="G8" s="14"/>
      <c r="H8" s="13"/>
    </row>
    <row r="9" spans="1:8">
      <c r="A9" s="15">
        <v>1</v>
      </c>
      <c r="B9" s="16" t="s">
        <v>13</v>
      </c>
      <c r="C9" s="16"/>
      <c r="D9" s="17">
        <v>415</v>
      </c>
      <c r="E9" s="17">
        <v>116</v>
      </c>
      <c r="F9" s="17">
        <v>378</v>
      </c>
      <c r="G9" s="15">
        <v>28</v>
      </c>
      <c r="H9" s="17"/>
    </row>
    <row r="10" spans="1:8">
      <c r="A10" s="15">
        <v>2</v>
      </c>
      <c r="B10" s="18" t="s">
        <v>14</v>
      </c>
      <c r="C10" s="16"/>
      <c r="D10" s="15">
        <v>154</v>
      </c>
      <c r="E10" s="17">
        <v>34</v>
      </c>
      <c r="F10" s="15">
        <v>390</v>
      </c>
      <c r="G10" s="15">
        <v>40</v>
      </c>
      <c r="H10" s="17">
        <v>12</v>
      </c>
    </row>
    <row r="11" spans="1:8">
      <c r="A11" s="15">
        <v>3</v>
      </c>
      <c r="B11" s="18" t="s">
        <v>15</v>
      </c>
      <c r="C11" s="18"/>
      <c r="D11" s="15">
        <v>232</v>
      </c>
      <c r="E11" s="17">
        <v>76</v>
      </c>
      <c r="F11" s="15">
        <v>410</v>
      </c>
      <c r="G11" s="15">
        <v>60</v>
      </c>
      <c r="H11" s="17">
        <v>32</v>
      </c>
    </row>
    <row r="12" spans="1:8">
      <c r="A12" s="14"/>
      <c r="B12" s="11" t="s">
        <v>16</v>
      </c>
      <c r="C12" s="10" t="s">
        <v>17</v>
      </c>
      <c r="D12" s="19">
        <f>D13+D14+D15</f>
        <v>789</v>
      </c>
      <c r="E12" s="12">
        <f>E13+E14+E15</f>
        <v>303</v>
      </c>
      <c r="F12" s="14"/>
      <c r="G12" s="14"/>
      <c r="H12" s="13"/>
    </row>
    <row r="13" spans="1:8">
      <c r="A13" s="20">
        <v>4</v>
      </c>
      <c r="B13" s="21" t="s">
        <v>17</v>
      </c>
      <c r="C13" s="21"/>
      <c r="D13" s="22">
        <v>434</v>
      </c>
      <c r="E13" s="23">
        <v>158</v>
      </c>
      <c r="F13" s="23">
        <v>395</v>
      </c>
      <c r="G13" s="23">
        <v>45</v>
      </c>
      <c r="H13" s="24"/>
    </row>
    <row r="14" spans="1:8">
      <c r="A14" s="20">
        <v>5</v>
      </c>
      <c r="B14" s="25" t="s">
        <v>18</v>
      </c>
      <c r="C14" s="21"/>
      <c r="D14" s="22">
        <v>67</v>
      </c>
      <c r="E14" s="23">
        <v>33</v>
      </c>
      <c r="F14" s="20">
        <v>403</v>
      </c>
      <c r="G14" s="20">
        <v>53</v>
      </c>
      <c r="H14" s="23">
        <v>8</v>
      </c>
    </row>
    <row r="15" spans="1:8">
      <c r="A15" s="20">
        <v>6</v>
      </c>
      <c r="B15" s="25" t="s">
        <v>19</v>
      </c>
      <c r="C15" s="21"/>
      <c r="D15" s="22">
        <v>288</v>
      </c>
      <c r="E15" s="23">
        <v>112</v>
      </c>
      <c r="F15" s="20">
        <v>368</v>
      </c>
      <c r="G15" s="20">
        <v>18</v>
      </c>
      <c r="H15" s="23">
        <v>27</v>
      </c>
    </row>
    <row r="16" spans="1:8">
      <c r="A16" s="14"/>
      <c r="B16" s="11" t="s">
        <v>20</v>
      </c>
      <c r="C16" s="10" t="s">
        <v>21</v>
      </c>
      <c r="D16" s="26">
        <f>D17+D18</f>
        <v>184</v>
      </c>
      <c r="E16" s="12">
        <f>E17+E18</f>
        <v>61</v>
      </c>
      <c r="F16" s="14"/>
      <c r="G16" s="14"/>
      <c r="H16" s="13"/>
    </row>
    <row r="17" spans="1:8">
      <c r="A17" s="20">
        <v>7</v>
      </c>
      <c r="B17" s="25" t="s">
        <v>21</v>
      </c>
      <c r="C17" s="21"/>
      <c r="D17" s="22">
        <v>13</v>
      </c>
      <c r="E17" s="23">
        <v>4</v>
      </c>
      <c r="F17" s="23">
        <v>495</v>
      </c>
      <c r="G17" s="23">
        <v>115</v>
      </c>
      <c r="H17" s="23"/>
    </row>
    <row r="18" spans="1:8">
      <c r="A18" s="20">
        <v>8</v>
      </c>
      <c r="B18" s="25" t="s">
        <v>22</v>
      </c>
      <c r="C18" s="21"/>
      <c r="D18" s="22">
        <v>171</v>
      </c>
      <c r="E18" s="23">
        <v>57</v>
      </c>
      <c r="F18" s="20">
        <v>480</v>
      </c>
      <c r="G18" s="20">
        <v>100</v>
      </c>
      <c r="H18" s="23">
        <v>15</v>
      </c>
    </row>
    <row r="19" spans="1:8">
      <c r="A19" s="14"/>
      <c r="B19" s="11" t="s">
        <v>23</v>
      </c>
      <c r="C19" s="10" t="s">
        <v>24</v>
      </c>
      <c r="D19" s="19">
        <f>D20+D21+D22</f>
        <v>1433</v>
      </c>
      <c r="E19" s="19">
        <f>E20+E21+E22</f>
        <v>394</v>
      </c>
      <c r="F19" s="14"/>
      <c r="G19" s="14"/>
      <c r="H19" s="13"/>
    </row>
    <row r="20" spans="1:8">
      <c r="A20" s="20">
        <v>9</v>
      </c>
      <c r="B20" s="25" t="s">
        <v>24</v>
      </c>
      <c r="C20" s="21"/>
      <c r="D20" s="27">
        <v>845</v>
      </c>
      <c r="E20" s="23">
        <v>246</v>
      </c>
      <c r="F20" s="20">
        <v>408</v>
      </c>
      <c r="G20" s="20">
        <v>58</v>
      </c>
      <c r="H20" s="23"/>
    </row>
    <row r="21" spans="1:8">
      <c r="A21" s="28">
        <v>10</v>
      </c>
      <c r="B21" s="29" t="s">
        <v>25</v>
      </c>
      <c r="C21" s="30"/>
      <c r="D21" s="22">
        <v>328</v>
      </c>
      <c r="E21" s="23">
        <v>89</v>
      </c>
      <c r="F21" s="20">
        <v>421</v>
      </c>
      <c r="G21" s="20">
        <v>71</v>
      </c>
      <c r="H21" s="23">
        <v>13</v>
      </c>
    </row>
    <row r="22" spans="1:8">
      <c r="A22" s="28">
        <v>11</v>
      </c>
      <c r="B22" s="29" t="s">
        <v>26</v>
      </c>
      <c r="C22" s="30"/>
      <c r="D22" s="22">
        <v>260</v>
      </c>
      <c r="E22" s="23">
        <v>59</v>
      </c>
      <c r="F22" s="20">
        <v>446</v>
      </c>
      <c r="G22" s="20">
        <v>96</v>
      </c>
      <c r="H22" s="23">
        <v>35</v>
      </c>
    </row>
    <row r="23" spans="1:8">
      <c r="A23" s="14"/>
      <c r="B23" s="11" t="s">
        <v>27</v>
      </c>
      <c r="C23" s="10" t="s">
        <v>28</v>
      </c>
      <c r="D23" s="26">
        <f>D24+D25</f>
        <v>306</v>
      </c>
      <c r="E23" s="12">
        <f>E24+E25</f>
        <v>75</v>
      </c>
      <c r="F23" s="14"/>
      <c r="G23" s="14"/>
      <c r="H23" s="13"/>
    </row>
    <row r="24" spans="1:8">
      <c r="A24" s="20">
        <v>12</v>
      </c>
      <c r="B24" s="25" t="s">
        <v>28</v>
      </c>
      <c r="C24" s="21"/>
      <c r="D24" s="22">
        <v>207</v>
      </c>
      <c r="E24" s="23">
        <v>54</v>
      </c>
      <c r="F24" s="20">
        <v>550</v>
      </c>
      <c r="G24" s="20">
        <v>150</v>
      </c>
      <c r="H24" s="23"/>
    </row>
    <row r="25" spans="1:8">
      <c r="A25" s="20">
        <v>13</v>
      </c>
      <c r="B25" s="25" t="s">
        <v>29</v>
      </c>
      <c r="C25" s="21"/>
      <c r="D25" s="22">
        <v>99</v>
      </c>
      <c r="E25" s="23">
        <v>21</v>
      </c>
      <c r="F25" s="20">
        <v>525</v>
      </c>
      <c r="G25" s="20">
        <v>125</v>
      </c>
      <c r="H25" s="23">
        <v>25</v>
      </c>
    </row>
    <row r="26" spans="1:8">
      <c r="A26" s="31"/>
      <c r="B26" s="32" t="s">
        <v>30</v>
      </c>
      <c r="C26" s="33" t="s">
        <v>31</v>
      </c>
      <c r="D26" s="26">
        <f>D27+D28</f>
        <v>256</v>
      </c>
      <c r="E26" s="12">
        <f>E27+E28</f>
        <v>74</v>
      </c>
      <c r="F26" s="14"/>
      <c r="G26" s="14"/>
      <c r="H26" s="13"/>
    </row>
    <row r="27" spans="1:8">
      <c r="A27" s="20">
        <v>14</v>
      </c>
      <c r="B27" s="25" t="s">
        <v>31</v>
      </c>
      <c r="C27" s="21"/>
      <c r="D27" s="22">
        <v>200</v>
      </c>
      <c r="E27" s="23">
        <v>50</v>
      </c>
      <c r="F27" s="20">
        <v>413</v>
      </c>
      <c r="G27" s="20">
        <v>60</v>
      </c>
      <c r="H27" s="23"/>
    </row>
    <row r="28" spans="1:8">
      <c r="A28" s="28">
        <v>15</v>
      </c>
      <c r="B28" s="29" t="s">
        <v>32</v>
      </c>
      <c r="C28" s="30"/>
      <c r="D28" s="22">
        <v>56</v>
      </c>
      <c r="E28" s="23">
        <v>24</v>
      </c>
      <c r="F28" s="20">
        <v>448</v>
      </c>
      <c r="G28" s="20">
        <v>104</v>
      </c>
      <c r="H28" s="23">
        <v>35</v>
      </c>
    </row>
    <row r="29" spans="1:8">
      <c r="A29" s="14"/>
      <c r="B29" s="11" t="s">
        <v>33</v>
      </c>
      <c r="C29" s="10" t="s">
        <v>34</v>
      </c>
      <c r="D29" s="26">
        <f>D30</f>
        <v>94</v>
      </c>
      <c r="E29" s="12">
        <f>E30</f>
        <v>33</v>
      </c>
      <c r="F29" s="14"/>
      <c r="G29" s="14"/>
      <c r="H29" s="13"/>
    </row>
    <row r="30" spans="1:8">
      <c r="A30" s="28">
        <v>16</v>
      </c>
      <c r="B30" s="29" t="s">
        <v>34</v>
      </c>
      <c r="C30" s="30"/>
      <c r="D30" s="22">
        <v>94</v>
      </c>
      <c r="E30" s="23">
        <v>33</v>
      </c>
      <c r="F30" s="20">
        <v>505</v>
      </c>
      <c r="G30" s="20">
        <v>120</v>
      </c>
      <c r="H30" s="23"/>
    </row>
    <row r="31" spans="1:8">
      <c r="A31" s="31"/>
      <c r="B31" s="32" t="s">
        <v>35</v>
      </c>
      <c r="C31" s="33" t="s">
        <v>36</v>
      </c>
      <c r="D31" s="26">
        <f>D32+D33</f>
        <v>508</v>
      </c>
      <c r="E31" s="26">
        <f>E32+E33</f>
        <v>145</v>
      </c>
      <c r="F31" s="14"/>
      <c r="G31" s="14"/>
      <c r="H31" s="13"/>
    </row>
    <row r="32" spans="1:8">
      <c r="A32" s="20">
        <v>17</v>
      </c>
      <c r="B32" s="25" t="s">
        <v>36</v>
      </c>
      <c r="C32" s="21"/>
      <c r="D32" s="22">
        <v>318</v>
      </c>
      <c r="E32" s="23">
        <v>89</v>
      </c>
      <c r="F32" s="20">
        <v>400</v>
      </c>
      <c r="G32" s="20">
        <v>50</v>
      </c>
      <c r="H32" s="23"/>
    </row>
    <row r="33" spans="1:8">
      <c r="A33" s="28">
        <v>18</v>
      </c>
      <c r="B33" s="29" t="s">
        <v>37</v>
      </c>
      <c r="C33" s="30"/>
      <c r="D33" s="22">
        <v>190</v>
      </c>
      <c r="E33" s="23">
        <v>56</v>
      </c>
      <c r="F33" s="20">
        <v>420</v>
      </c>
      <c r="G33" s="20">
        <v>70</v>
      </c>
      <c r="H33" s="23">
        <v>20</v>
      </c>
    </row>
    <row r="34" spans="1:8">
      <c r="A34" s="31"/>
      <c r="B34" s="32" t="s">
        <v>38</v>
      </c>
      <c r="C34" s="33" t="s">
        <v>39</v>
      </c>
      <c r="D34" s="26">
        <f>D35+D36+D37</f>
        <v>1151</v>
      </c>
      <c r="E34" s="12">
        <f>E35+E36+E37</f>
        <v>253</v>
      </c>
      <c r="F34" s="14"/>
      <c r="G34" s="14"/>
      <c r="H34" s="13"/>
    </row>
    <row r="35" spans="1:8">
      <c r="A35" s="20">
        <v>19</v>
      </c>
      <c r="B35" s="25" t="s">
        <v>39</v>
      </c>
      <c r="C35" s="21"/>
      <c r="D35" s="22">
        <v>783</v>
      </c>
      <c r="E35" s="23">
        <v>169</v>
      </c>
      <c r="F35" s="20">
        <v>530</v>
      </c>
      <c r="G35" s="20">
        <v>190</v>
      </c>
      <c r="H35" s="23"/>
    </row>
    <row r="36" spans="1:8">
      <c r="A36" s="20">
        <v>20</v>
      </c>
      <c r="B36" s="25" t="s">
        <v>40</v>
      </c>
      <c r="C36" s="21"/>
      <c r="D36" s="22">
        <v>223</v>
      </c>
      <c r="E36" s="23">
        <v>48</v>
      </c>
      <c r="F36" s="20">
        <v>525</v>
      </c>
      <c r="G36" s="20">
        <v>197</v>
      </c>
      <c r="H36" s="23">
        <v>5</v>
      </c>
    </row>
    <row r="37" spans="1:8">
      <c r="A37" s="20">
        <v>21</v>
      </c>
      <c r="B37" s="25" t="s">
        <v>41</v>
      </c>
      <c r="C37" s="21"/>
      <c r="D37" s="22">
        <v>145</v>
      </c>
      <c r="E37" s="23">
        <v>36</v>
      </c>
      <c r="F37" s="20">
        <v>537</v>
      </c>
      <c r="G37" s="20">
        <v>225</v>
      </c>
      <c r="H37" s="23">
        <v>18</v>
      </c>
    </row>
    <row r="38" spans="1:8">
      <c r="A38" s="31"/>
      <c r="B38" s="32" t="s">
        <v>42</v>
      </c>
      <c r="C38" s="33" t="s">
        <v>43</v>
      </c>
      <c r="D38" s="19">
        <f>D39+D40</f>
        <v>691</v>
      </c>
      <c r="E38" s="12">
        <f>E39+E40</f>
        <v>201</v>
      </c>
      <c r="F38" s="14"/>
      <c r="G38" s="14"/>
      <c r="H38" s="13"/>
    </row>
    <row r="39" spans="1:8">
      <c r="A39" s="20">
        <v>22</v>
      </c>
      <c r="B39" s="25" t="s">
        <v>43</v>
      </c>
      <c r="C39" s="21"/>
      <c r="D39" s="22">
        <v>346</v>
      </c>
      <c r="E39" s="23">
        <v>101</v>
      </c>
      <c r="F39" s="20">
        <v>368</v>
      </c>
      <c r="G39" s="20">
        <v>18</v>
      </c>
      <c r="H39" s="23"/>
    </row>
    <row r="40" spans="1:8">
      <c r="A40" s="28">
        <v>23</v>
      </c>
      <c r="B40" s="29" t="s">
        <v>44</v>
      </c>
      <c r="C40" s="30"/>
      <c r="D40" s="22">
        <v>345</v>
      </c>
      <c r="E40" s="23">
        <v>100</v>
      </c>
      <c r="F40" s="20">
        <v>387</v>
      </c>
      <c r="G40" s="20">
        <v>37</v>
      </c>
      <c r="H40" s="23">
        <v>19</v>
      </c>
    </row>
    <row r="41" spans="1:8">
      <c r="A41" s="14"/>
      <c r="B41" s="11" t="s">
        <v>45</v>
      </c>
      <c r="C41" s="10" t="s">
        <v>46</v>
      </c>
      <c r="D41" s="19">
        <f>D42</f>
        <v>5602</v>
      </c>
      <c r="E41" s="19">
        <f>E42</f>
        <v>1664</v>
      </c>
      <c r="F41" s="14"/>
      <c r="G41" s="14"/>
      <c r="H41" s="13"/>
    </row>
    <row r="42" spans="1:8">
      <c r="A42" s="20">
        <v>24</v>
      </c>
      <c r="B42" s="25" t="s">
        <v>46</v>
      </c>
      <c r="C42" s="21"/>
      <c r="D42" s="27">
        <v>5602</v>
      </c>
      <c r="E42" s="23">
        <v>1664</v>
      </c>
      <c r="F42" s="20">
        <v>350</v>
      </c>
      <c r="G42" s="20"/>
      <c r="H42" s="23"/>
    </row>
    <row r="43" spans="1:8">
      <c r="A43" s="20"/>
      <c r="B43" s="34" t="s">
        <v>47</v>
      </c>
      <c r="C43" s="35"/>
      <c r="D43" s="19">
        <f>D41+D38+D34+D31+D29+D26+D23+D19+D16+D12+D8</f>
        <v>11815</v>
      </c>
      <c r="E43" s="36">
        <f>E8+E12+E16+E19+E23+E26+E29+E31+E34+E38+E41</f>
        <v>3429</v>
      </c>
      <c r="F43" s="20"/>
      <c r="G43" s="20"/>
      <c r="H43" s="23"/>
    </row>
  </sheetData>
  <mergeCells count="10">
    <mergeCell ref="A1:H1"/>
    <mergeCell ref="A2:H2"/>
    <mergeCell ref="A3:H3"/>
    <mergeCell ref="F5:H5"/>
    <mergeCell ref="B43:C43"/>
    <mergeCell ref="A5:A6"/>
    <mergeCell ref="B5:B6"/>
    <mergeCell ref="C5:C6"/>
    <mergeCell ref="D5:D6"/>
    <mergeCell ref="E5:E6"/>
  </mergeCells>
  <pageMargins left="0.75" right="0.75" top="1" bottom="1" header="0.5" footer="0.5"/>
  <pageSetup paperSize="9" scale="85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3"/>
  <sheetViews>
    <sheetView zoomScale="70" zoomScaleNormal="70" topLeftCell="A9" workbookViewId="0">
      <selection activeCell="A1" sqref="A1:H43"/>
    </sheetView>
  </sheetViews>
  <sheetFormatPr defaultColWidth="9.14285714285714" defaultRowHeight="15" outlineLevelCol="7"/>
  <cols>
    <col min="1" max="1" width="6" customWidth="1"/>
    <col min="2" max="2" width="16.2857142857143" customWidth="1"/>
    <col min="3" max="3" width="14.1428571428571" customWidth="1"/>
    <col min="4" max="5" width="13.8571428571429" customWidth="1"/>
    <col min="6" max="6" width="11.8571428571429" customWidth="1"/>
    <col min="7" max="7" width="11.4285714285714" customWidth="1"/>
    <col min="8" max="8" width="11.5714285714286" customWidth="1"/>
  </cols>
  <sheetData>
    <row r="1" ht="15.75" spans="1:8">
      <c r="A1" s="1" t="s">
        <v>0</v>
      </c>
      <c r="B1" s="1"/>
      <c r="C1" s="1"/>
      <c r="D1" s="1"/>
      <c r="E1" s="1"/>
      <c r="F1" s="1"/>
      <c r="G1" s="1"/>
      <c r="H1" s="1"/>
    </row>
    <row r="2" ht="15.75" spans="1:8">
      <c r="A2" s="1" t="s">
        <v>1</v>
      </c>
      <c r="B2" s="1"/>
      <c r="C2" s="1"/>
      <c r="D2" s="1"/>
      <c r="E2" s="1"/>
      <c r="F2" s="1"/>
      <c r="G2" s="1"/>
      <c r="H2" s="1"/>
    </row>
    <row r="3" ht="15.75" spans="1:8">
      <c r="A3" s="1" t="s">
        <v>55</v>
      </c>
      <c r="B3" s="1"/>
      <c r="C3" s="1"/>
      <c r="D3" s="1"/>
      <c r="E3" s="1"/>
      <c r="F3" s="1"/>
      <c r="G3" s="1"/>
      <c r="H3" s="1"/>
    </row>
    <row r="4" spans="1:8">
      <c r="A4" s="2"/>
      <c r="B4" s="2"/>
      <c r="C4" s="2"/>
      <c r="D4" s="2"/>
      <c r="E4" s="2"/>
      <c r="F4" s="2"/>
      <c r="G4" s="2"/>
      <c r="H4" s="2"/>
    </row>
    <row r="5" spans="1:8">
      <c r="A5" s="3" t="s">
        <v>3</v>
      </c>
      <c r="B5" s="3" t="s">
        <v>4</v>
      </c>
      <c r="C5" s="3" t="s">
        <v>5</v>
      </c>
      <c r="D5" s="4" t="s">
        <v>6</v>
      </c>
      <c r="E5" s="4" t="s">
        <v>49</v>
      </c>
      <c r="F5" s="5" t="s">
        <v>8</v>
      </c>
      <c r="G5" s="5"/>
      <c r="H5" s="5"/>
    </row>
    <row r="6" ht="36" spans="1:8">
      <c r="A6" s="3"/>
      <c r="B6" s="3"/>
      <c r="C6" s="3"/>
      <c r="D6" s="6"/>
      <c r="E6" s="7"/>
      <c r="F6" s="8" t="s">
        <v>9</v>
      </c>
      <c r="G6" s="8" t="s">
        <v>10</v>
      </c>
      <c r="H6" s="8" t="s">
        <v>11</v>
      </c>
    </row>
    <row r="7" spans="1:8">
      <c r="A7" s="9">
        <v>1</v>
      </c>
      <c r="B7" s="9">
        <v>2</v>
      </c>
      <c r="C7" s="9">
        <v>3</v>
      </c>
      <c r="D7" s="9">
        <v>4</v>
      </c>
      <c r="E7" s="9">
        <v>5</v>
      </c>
      <c r="F7" s="9">
        <v>6</v>
      </c>
      <c r="G7" s="9">
        <v>7</v>
      </c>
      <c r="H7" s="9">
        <v>8</v>
      </c>
    </row>
    <row r="8" spans="1:8">
      <c r="A8" s="10"/>
      <c r="B8" s="11" t="s">
        <v>12</v>
      </c>
      <c r="C8" s="10" t="s">
        <v>13</v>
      </c>
      <c r="D8" s="12">
        <f>D9+D10+D11</f>
        <v>803</v>
      </c>
      <c r="E8" s="12">
        <f>E9+E10+E11</f>
        <v>226</v>
      </c>
      <c r="F8" s="13"/>
      <c r="G8" s="14"/>
      <c r="H8" s="13"/>
    </row>
    <row r="9" spans="1:8">
      <c r="A9" s="15">
        <v>1</v>
      </c>
      <c r="B9" s="16" t="s">
        <v>13</v>
      </c>
      <c r="C9" s="16"/>
      <c r="D9" s="17">
        <v>413</v>
      </c>
      <c r="E9" s="17">
        <v>116</v>
      </c>
      <c r="F9" s="17">
        <v>378</v>
      </c>
      <c r="G9" s="15">
        <v>28</v>
      </c>
      <c r="H9" s="17"/>
    </row>
    <row r="10" spans="1:8">
      <c r="A10" s="15">
        <v>2</v>
      </c>
      <c r="B10" s="18" t="s">
        <v>14</v>
      </c>
      <c r="C10" s="16"/>
      <c r="D10" s="15">
        <v>158</v>
      </c>
      <c r="E10" s="17">
        <v>34</v>
      </c>
      <c r="F10" s="15">
        <v>390</v>
      </c>
      <c r="G10" s="15">
        <v>40</v>
      </c>
      <c r="H10" s="17">
        <v>12</v>
      </c>
    </row>
    <row r="11" spans="1:8">
      <c r="A11" s="15">
        <v>3</v>
      </c>
      <c r="B11" s="18" t="s">
        <v>15</v>
      </c>
      <c r="C11" s="18"/>
      <c r="D11" s="15">
        <v>232</v>
      </c>
      <c r="E11" s="17">
        <v>76</v>
      </c>
      <c r="F11" s="15">
        <v>410</v>
      </c>
      <c r="G11" s="15">
        <v>60</v>
      </c>
      <c r="H11" s="17">
        <v>32</v>
      </c>
    </row>
    <row r="12" spans="1:8">
      <c r="A12" s="14"/>
      <c r="B12" s="11" t="s">
        <v>16</v>
      </c>
      <c r="C12" s="10" t="s">
        <v>17</v>
      </c>
      <c r="D12" s="19">
        <f>D13+D14+D15</f>
        <v>788</v>
      </c>
      <c r="E12" s="12">
        <f>E13+E14+E15</f>
        <v>303</v>
      </c>
      <c r="F12" s="14"/>
      <c r="G12" s="14"/>
      <c r="H12" s="13"/>
    </row>
    <row r="13" spans="1:8">
      <c r="A13" s="20">
        <v>4</v>
      </c>
      <c r="B13" s="21" t="s">
        <v>17</v>
      </c>
      <c r="C13" s="21"/>
      <c r="D13" s="22">
        <v>433</v>
      </c>
      <c r="E13" s="23">
        <v>158</v>
      </c>
      <c r="F13" s="23">
        <v>395</v>
      </c>
      <c r="G13" s="23">
        <v>45</v>
      </c>
      <c r="H13" s="24"/>
    </row>
    <row r="14" spans="1:8">
      <c r="A14" s="20">
        <v>5</v>
      </c>
      <c r="B14" s="25" t="s">
        <v>18</v>
      </c>
      <c r="C14" s="21"/>
      <c r="D14" s="22">
        <v>67</v>
      </c>
      <c r="E14" s="23">
        <v>33</v>
      </c>
      <c r="F14" s="20">
        <v>403</v>
      </c>
      <c r="G14" s="20">
        <v>53</v>
      </c>
      <c r="H14" s="23">
        <v>8</v>
      </c>
    </row>
    <row r="15" spans="1:8">
      <c r="A15" s="20">
        <v>6</v>
      </c>
      <c r="B15" s="25" t="s">
        <v>19</v>
      </c>
      <c r="C15" s="21"/>
      <c r="D15" s="22">
        <v>288</v>
      </c>
      <c r="E15" s="23">
        <v>112</v>
      </c>
      <c r="F15" s="20">
        <v>368</v>
      </c>
      <c r="G15" s="20">
        <v>18</v>
      </c>
      <c r="H15" s="23">
        <v>27</v>
      </c>
    </row>
    <row r="16" spans="1:8">
      <c r="A16" s="14"/>
      <c r="B16" s="11" t="s">
        <v>20</v>
      </c>
      <c r="C16" s="10" t="s">
        <v>21</v>
      </c>
      <c r="D16" s="26">
        <f>D17+D18</f>
        <v>190</v>
      </c>
      <c r="E16" s="12">
        <f>E17+E18</f>
        <v>61</v>
      </c>
      <c r="F16" s="14"/>
      <c r="G16" s="14"/>
      <c r="H16" s="13"/>
    </row>
    <row r="17" spans="1:8">
      <c r="A17" s="20">
        <v>7</v>
      </c>
      <c r="B17" s="25" t="s">
        <v>21</v>
      </c>
      <c r="C17" s="21"/>
      <c r="D17" s="22">
        <v>13</v>
      </c>
      <c r="E17" s="23">
        <v>4</v>
      </c>
      <c r="F17" s="23">
        <v>495</v>
      </c>
      <c r="G17" s="23">
        <v>115</v>
      </c>
      <c r="H17" s="23"/>
    </row>
    <row r="18" spans="1:8">
      <c r="A18" s="20">
        <v>8</v>
      </c>
      <c r="B18" s="25" t="s">
        <v>22</v>
      </c>
      <c r="C18" s="21"/>
      <c r="D18" s="22">
        <v>177</v>
      </c>
      <c r="E18" s="23">
        <v>57</v>
      </c>
      <c r="F18" s="20">
        <v>480</v>
      </c>
      <c r="G18" s="20">
        <v>100</v>
      </c>
      <c r="H18" s="23">
        <v>15</v>
      </c>
    </row>
    <row r="19" spans="1:8">
      <c r="A19" s="14"/>
      <c r="B19" s="11" t="s">
        <v>23</v>
      </c>
      <c r="C19" s="10" t="s">
        <v>24</v>
      </c>
      <c r="D19" s="19">
        <f>D20+D21+D22</f>
        <v>1429</v>
      </c>
      <c r="E19" s="19">
        <f>E20+E21+E22</f>
        <v>394</v>
      </c>
      <c r="F19" s="14"/>
      <c r="G19" s="14"/>
      <c r="H19" s="13"/>
    </row>
    <row r="20" spans="1:8">
      <c r="A20" s="20">
        <v>9</v>
      </c>
      <c r="B20" s="25" t="s">
        <v>24</v>
      </c>
      <c r="C20" s="21"/>
      <c r="D20" s="27">
        <v>843</v>
      </c>
      <c r="E20" s="23">
        <v>246</v>
      </c>
      <c r="F20" s="20">
        <v>408</v>
      </c>
      <c r="G20" s="20">
        <v>58</v>
      </c>
      <c r="H20" s="23"/>
    </row>
    <row r="21" spans="1:8">
      <c r="A21" s="28">
        <v>10</v>
      </c>
      <c r="B21" s="29" t="s">
        <v>25</v>
      </c>
      <c r="C21" s="30"/>
      <c r="D21" s="22">
        <v>327</v>
      </c>
      <c r="E21" s="23">
        <v>89</v>
      </c>
      <c r="F21" s="20">
        <v>421</v>
      </c>
      <c r="G21" s="20">
        <v>71</v>
      </c>
      <c r="H21" s="23">
        <v>13</v>
      </c>
    </row>
    <row r="22" spans="1:8">
      <c r="A22" s="28">
        <v>11</v>
      </c>
      <c r="B22" s="29" t="s">
        <v>26</v>
      </c>
      <c r="C22" s="30"/>
      <c r="D22" s="22">
        <v>259</v>
      </c>
      <c r="E22" s="23">
        <v>59</v>
      </c>
      <c r="F22" s="20">
        <v>446</v>
      </c>
      <c r="G22" s="20">
        <v>96</v>
      </c>
      <c r="H22" s="23">
        <v>35</v>
      </c>
    </row>
    <row r="23" spans="1:8">
      <c r="A23" s="14"/>
      <c r="B23" s="11" t="s">
        <v>27</v>
      </c>
      <c r="C23" s="10" t="s">
        <v>28</v>
      </c>
      <c r="D23" s="26">
        <f>D24+D25</f>
        <v>265</v>
      </c>
      <c r="E23" s="12">
        <f>E24+E25</f>
        <v>75</v>
      </c>
      <c r="F23" s="14"/>
      <c r="G23" s="14"/>
      <c r="H23" s="13"/>
    </row>
    <row r="24" spans="1:8">
      <c r="A24" s="20">
        <v>12</v>
      </c>
      <c r="B24" s="25" t="s">
        <v>28</v>
      </c>
      <c r="C24" s="21"/>
      <c r="D24" s="22">
        <v>217</v>
      </c>
      <c r="E24" s="23">
        <v>54</v>
      </c>
      <c r="F24" s="20">
        <v>550</v>
      </c>
      <c r="G24" s="20">
        <v>150</v>
      </c>
      <c r="H24" s="23"/>
    </row>
    <row r="25" spans="1:8">
      <c r="A25" s="20">
        <v>13</v>
      </c>
      <c r="B25" s="25" t="s">
        <v>29</v>
      </c>
      <c r="C25" s="21"/>
      <c r="D25" s="22">
        <v>48</v>
      </c>
      <c r="E25" s="23">
        <v>21</v>
      </c>
      <c r="F25" s="20">
        <v>525</v>
      </c>
      <c r="G25" s="20">
        <v>125</v>
      </c>
      <c r="H25" s="23">
        <v>25</v>
      </c>
    </row>
    <row r="26" spans="1:8">
      <c r="A26" s="31"/>
      <c r="B26" s="32" t="s">
        <v>30</v>
      </c>
      <c r="C26" s="33" t="s">
        <v>31</v>
      </c>
      <c r="D26" s="26">
        <f>D27+D28</f>
        <v>256</v>
      </c>
      <c r="E26" s="12">
        <f>E27+E28</f>
        <v>74</v>
      </c>
      <c r="F26" s="14"/>
      <c r="G26" s="14"/>
      <c r="H26" s="13"/>
    </row>
    <row r="27" spans="1:8">
      <c r="A27" s="20">
        <v>14</v>
      </c>
      <c r="B27" s="25" t="s">
        <v>31</v>
      </c>
      <c r="C27" s="21"/>
      <c r="D27" s="22">
        <v>200</v>
      </c>
      <c r="E27" s="23">
        <v>50</v>
      </c>
      <c r="F27" s="20">
        <v>413</v>
      </c>
      <c r="G27" s="20">
        <v>60</v>
      </c>
      <c r="H27" s="23"/>
    </row>
    <row r="28" spans="1:8">
      <c r="A28" s="28">
        <v>15</v>
      </c>
      <c r="B28" s="29" t="s">
        <v>32</v>
      </c>
      <c r="C28" s="30"/>
      <c r="D28" s="22">
        <v>56</v>
      </c>
      <c r="E28" s="23">
        <v>24</v>
      </c>
      <c r="F28" s="20">
        <v>448</v>
      </c>
      <c r="G28" s="20">
        <v>104</v>
      </c>
      <c r="H28" s="23">
        <v>35</v>
      </c>
    </row>
    <row r="29" spans="1:8">
      <c r="A29" s="14"/>
      <c r="B29" s="11" t="s">
        <v>33</v>
      </c>
      <c r="C29" s="10" t="s">
        <v>34</v>
      </c>
      <c r="D29" s="26">
        <f>D30</f>
        <v>81</v>
      </c>
      <c r="E29" s="12">
        <f>E30</f>
        <v>30</v>
      </c>
      <c r="F29" s="14"/>
      <c r="G29" s="14"/>
      <c r="H29" s="13"/>
    </row>
    <row r="30" spans="1:8">
      <c r="A30" s="28">
        <v>16</v>
      </c>
      <c r="B30" s="29" t="s">
        <v>34</v>
      </c>
      <c r="C30" s="30"/>
      <c r="D30" s="22">
        <v>81</v>
      </c>
      <c r="E30" s="23">
        <v>30</v>
      </c>
      <c r="F30" s="20">
        <v>505</v>
      </c>
      <c r="G30" s="20">
        <v>120</v>
      </c>
      <c r="H30" s="23"/>
    </row>
    <row r="31" spans="1:8">
      <c r="A31" s="31"/>
      <c r="B31" s="32" t="s">
        <v>35</v>
      </c>
      <c r="C31" s="33" t="s">
        <v>36</v>
      </c>
      <c r="D31" s="26">
        <f>D32+D33</f>
        <v>507</v>
      </c>
      <c r="E31" s="26">
        <f>E32+E33</f>
        <v>143</v>
      </c>
      <c r="F31" s="14"/>
      <c r="G31" s="14"/>
      <c r="H31" s="13"/>
    </row>
    <row r="32" spans="1:8">
      <c r="A32" s="20">
        <v>17</v>
      </c>
      <c r="B32" s="25" t="s">
        <v>36</v>
      </c>
      <c r="C32" s="21"/>
      <c r="D32" s="22">
        <v>313</v>
      </c>
      <c r="E32" s="23">
        <v>87</v>
      </c>
      <c r="F32" s="20">
        <v>400</v>
      </c>
      <c r="G32" s="20">
        <v>50</v>
      </c>
      <c r="H32" s="23"/>
    </row>
    <row r="33" spans="1:8">
      <c r="A33" s="28">
        <v>18</v>
      </c>
      <c r="B33" s="29" t="s">
        <v>37</v>
      </c>
      <c r="C33" s="30"/>
      <c r="D33" s="22">
        <v>194</v>
      </c>
      <c r="E33" s="23">
        <v>56</v>
      </c>
      <c r="F33" s="20">
        <v>420</v>
      </c>
      <c r="G33" s="20">
        <v>70</v>
      </c>
      <c r="H33" s="23">
        <v>20</v>
      </c>
    </row>
    <row r="34" spans="1:8">
      <c r="A34" s="31"/>
      <c r="B34" s="32" t="s">
        <v>38</v>
      </c>
      <c r="C34" s="33" t="s">
        <v>39</v>
      </c>
      <c r="D34" s="26">
        <f>D35+D36+D37</f>
        <v>1151</v>
      </c>
      <c r="E34" s="12">
        <f>E35+E36+E37</f>
        <v>253</v>
      </c>
      <c r="F34" s="14"/>
      <c r="G34" s="14"/>
      <c r="H34" s="13"/>
    </row>
    <row r="35" spans="1:8">
      <c r="A35" s="20">
        <v>19</v>
      </c>
      <c r="B35" s="25" t="s">
        <v>39</v>
      </c>
      <c r="C35" s="21"/>
      <c r="D35" s="22">
        <v>783</v>
      </c>
      <c r="E35" s="23">
        <v>169</v>
      </c>
      <c r="F35" s="20">
        <v>530</v>
      </c>
      <c r="G35" s="20">
        <v>190</v>
      </c>
      <c r="H35" s="23"/>
    </row>
    <row r="36" spans="1:8">
      <c r="A36" s="20">
        <v>20</v>
      </c>
      <c r="B36" s="25" t="s">
        <v>40</v>
      </c>
      <c r="C36" s="21"/>
      <c r="D36" s="22">
        <v>223</v>
      </c>
      <c r="E36" s="23">
        <v>48</v>
      </c>
      <c r="F36" s="20">
        <v>525</v>
      </c>
      <c r="G36" s="20">
        <v>197</v>
      </c>
      <c r="H36" s="23">
        <v>5</v>
      </c>
    </row>
    <row r="37" spans="1:8">
      <c r="A37" s="20">
        <v>21</v>
      </c>
      <c r="B37" s="25" t="s">
        <v>41</v>
      </c>
      <c r="C37" s="21"/>
      <c r="D37" s="22">
        <v>145</v>
      </c>
      <c r="E37" s="23">
        <v>36</v>
      </c>
      <c r="F37" s="20">
        <v>537</v>
      </c>
      <c r="G37" s="20">
        <v>225</v>
      </c>
      <c r="H37" s="23">
        <v>18</v>
      </c>
    </row>
    <row r="38" spans="1:8">
      <c r="A38" s="31"/>
      <c r="B38" s="32" t="s">
        <v>42</v>
      </c>
      <c r="C38" s="33" t="s">
        <v>43</v>
      </c>
      <c r="D38" s="19">
        <f>D39+D40</f>
        <v>691</v>
      </c>
      <c r="E38" s="12">
        <f>E39+E40</f>
        <v>201</v>
      </c>
      <c r="F38" s="14"/>
      <c r="G38" s="14"/>
      <c r="H38" s="13"/>
    </row>
    <row r="39" spans="1:8">
      <c r="A39" s="20">
        <v>22</v>
      </c>
      <c r="B39" s="25" t="s">
        <v>43</v>
      </c>
      <c r="C39" s="21"/>
      <c r="D39" s="22">
        <v>346</v>
      </c>
      <c r="E39" s="23">
        <v>101</v>
      </c>
      <c r="F39" s="20">
        <v>368</v>
      </c>
      <c r="G39" s="20">
        <v>18</v>
      </c>
      <c r="H39" s="23"/>
    </row>
    <row r="40" spans="1:8">
      <c r="A40" s="28">
        <v>23</v>
      </c>
      <c r="B40" s="29" t="s">
        <v>44</v>
      </c>
      <c r="C40" s="30"/>
      <c r="D40" s="22">
        <v>345</v>
      </c>
      <c r="E40" s="23">
        <v>100</v>
      </c>
      <c r="F40" s="20">
        <v>387</v>
      </c>
      <c r="G40" s="20">
        <v>37</v>
      </c>
      <c r="H40" s="23">
        <v>19</v>
      </c>
    </row>
    <row r="41" spans="1:8">
      <c r="A41" s="14"/>
      <c r="B41" s="11" t="s">
        <v>45</v>
      </c>
      <c r="C41" s="10" t="s">
        <v>46</v>
      </c>
      <c r="D41" s="19">
        <f>D42</f>
        <v>5527</v>
      </c>
      <c r="E41" s="19">
        <f>E42</f>
        <v>1664</v>
      </c>
      <c r="F41" s="14"/>
      <c r="G41" s="14"/>
      <c r="H41" s="13"/>
    </row>
    <row r="42" spans="1:8">
      <c r="A42" s="20">
        <v>24</v>
      </c>
      <c r="B42" s="25" t="s">
        <v>46</v>
      </c>
      <c r="C42" s="21"/>
      <c r="D42" s="27">
        <v>5527</v>
      </c>
      <c r="E42" s="23">
        <v>1664</v>
      </c>
      <c r="F42" s="20">
        <v>350</v>
      </c>
      <c r="G42" s="20"/>
      <c r="H42" s="23"/>
    </row>
    <row r="43" spans="1:8">
      <c r="A43" s="20"/>
      <c r="B43" s="34" t="s">
        <v>47</v>
      </c>
      <c r="C43" s="35"/>
      <c r="D43" s="19">
        <f>D41+D38+D34+D31+D29+D26+D23+D19+D16+D12+D8</f>
        <v>11688</v>
      </c>
      <c r="E43" s="36">
        <f>E8+E12+E16+E19+E23+E26+E29+E31+E34+E38+E41</f>
        <v>3424</v>
      </c>
      <c r="F43" s="20"/>
      <c r="G43" s="20"/>
      <c r="H43" s="23"/>
    </row>
  </sheetData>
  <mergeCells count="10">
    <mergeCell ref="A1:H1"/>
    <mergeCell ref="A2:H2"/>
    <mergeCell ref="A3:H3"/>
    <mergeCell ref="F5:H5"/>
    <mergeCell ref="B43:C43"/>
    <mergeCell ref="A5:A6"/>
    <mergeCell ref="B5:B6"/>
    <mergeCell ref="C5:C6"/>
    <mergeCell ref="D5:D6"/>
    <mergeCell ref="E5:E6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3"/>
  <sheetViews>
    <sheetView tabSelected="1" zoomScale="70" zoomScaleNormal="70" topLeftCell="A10" workbookViewId="0">
      <selection activeCell="L23" sqref="L23"/>
    </sheetView>
  </sheetViews>
  <sheetFormatPr defaultColWidth="9.14285714285714" defaultRowHeight="15" outlineLevelCol="7"/>
  <cols>
    <col min="1" max="1" width="6" customWidth="1"/>
    <col min="2" max="2" width="16.2857142857143" customWidth="1"/>
    <col min="3" max="3" width="14.1428571428571" customWidth="1"/>
    <col min="4" max="5" width="13.8571428571429" customWidth="1"/>
    <col min="6" max="6" width="11.8571428571429" customWidth="1"/>
    <col min="7" max="7" width="11.4285714285714" customWidth="1"/>
    <col min="8" max="8" width="11.5714285714286" customWidth="1"/>
  </cols>
  <sheetData>
    <row r="1" ht="15.75" spans="1:8">
      <c r="A1" s="1" t="s">
        <v>0</v>
      </c>
      <c r="B1" s="1"/>
      <c r="C1" s="1"/>
      <c r="D1" s="1"/>
      <c r="E1" s="1"/>
      <c r="F1" s="1"/>
      <c r="G1" s="1"/>
      <c r="H1" s="1"/>
    </row>
    <row r="2" ht="15.75" spans="1:8">
      <c r="A2" s="1" t="s">
        <v>1</v>
      </c>
      <c r="B2" s="1"/>
      <c r="C2" s="1"/>
      <c r="D2" s="1"/>
      <c r="E2" s="1"/>
      <c r="F2" s="1"/>
      <c r="G2" s="1"/>
      <c r="H2" s="1"/>
    </row>
    <row r="3" ht="15.75" spans="1:8">
      <c r="A3" s="1" t="s">
        <v>56</v>
      </c>
      <c r="B3" s="1"/>
      <c r="C3" s="1"/>
      <c r="D3" s="1"/>
      <c r="E3" s="1"/>
      <c r="F3" s="1"/>
      <c r="G3" s="1"/>
      <c r="H3" s="1"/>
    </row>
    <row r="4" spans="1:8">
      <c r="A4" s="2"/>
      <c r="B4" s="2"/>
      <c r="C4" s="2"/>
      <c r="D4" s="2"/>
      <c r="E4" s="2"/>
      <c r="F4" s="2"/>
      <c r="G4" s="2"/>
      <c r="H4" s="2"/>
    </row>
    <row r="5" spans="1:8">
      <c r="A5" s="3" t="s">
        <v>3</v>
      </c>
      <c r="B5" s="3" t="s">
        <v>4</v>
      </c>
      <c r="C5" s="3" t="s">
        <v>5</v>
      </c>
      <c r="D5" s="4" t="s">
        <v>6</v>
      </c>
      <c r="E5" s="4" t="s">
        <v>49</v>
      </c>
      <c r="F5" s="5" t="s">
        <v>8</v>
      </c>
      <c r="G5" s="5"/>
      <c r="H5" s="5"/>
    </row>
    <row r="6" ht="36" spans="1:8">
      <c r="A6" s="3"/>
      <c r="B6" s="3"/>
      <c r="C6" s="3"/>
      <c r="D6" s="6"/>
      <c r="E6" s="7"/>
      <c r="F6" s="8" t="s">
        <v>9</v>
      </c>
      <c r="G6" s="8" t="s">
        <v>10</v>
      </c>
      <c r="H6" s="8" t="s">
        <v>11</v>
      </c>
    </row>
    <row r="7" spans="1:8">
      <c r="A7" s="9">
        <v>1</v>
      </c>
      <c r="B7" s="9">
        <v>2</v>
      </c>
      <c r="C7" s="9">
        <v>3</v>
      </c>
      <c r="D7" s="9">
        <v>4</v>
      </c>
      <c r="E7" s="9">
        <v>5</v>
      </c>
      <c r="F7" s="9">
        <v>6</v>
      </c>
      <c r="G7" s="9">
        <v>7</v>
      </c>
      <c r="H7" s="9">
        <v>8</v>
      </c>
    </row>
    <row r="8" spans="1:8">
      <c r="A8" s="10"/>
      <c r="B8" s="11" t="s">
        <v>12</v>
      </c>
      <c r="C8" s="10" t="s">
        <v>13</v>
      </c>
      <c r="D8" s="12">
        <f>D9+D10+D11</f>
        <v>803</v>
      </c>
      <c r="E8" s="12">
        <f>E9+E10+E11</f>
        <v>226</v>
      </c>
      <c r="F8" s="13"/>
      <c r="G8" s="14"/>
      <c r="H8" s="13"/>
    </row>
    <row r="9" spans="1:8">
      <c r="A9" s="15">
        <v>1</v>
      </c>
      <c r="B9" s="16" t="s">
        <v>13</v>
      </c>
      <c r="C9" s="16"/>
      <c r="D9" s="17">
        <v>413</v>
      </c>
      <c r="E9" s="17">
        <v>116</v>
      </c>
      <c r="F9" s="17">
        <v>378</v>
      </c>
      <c r="G9" s="15">
        <v>28</v>
      </c>
      <c r="H9" s="17"/>
    </row>
    <row r="10" spans="1:8">
      <c r="A10" s="15">
        <v>2</v>
      </c>
      <c r="B10" s="18" t="s">
        <v>14</v>
      </c>
      <c r="C10" s="16"/>
      <c r="D10" s="15">
        <v>158</v>
      </c>
      <c r="E10" s="17">
        <v>34</v>
      </c>
      <c r="F10" s="15">
        <v>390</v>
      </c>
      <c r="G10" s="15">
        <v>40</v>
      </c>
      <c r="H10" s="17">
        <v>12</v>
      </c>
    </row>
    <row r="11" spans="1:8">
      <c r="A11" s="15">
        <v>3</v>
      </c>
      <c r="B11" s="18" t="s">
        <v>15</v>
      </c>
      <c r="C11" s="18"/>
      <c r="D11" s="15">
        <v>232</v>
      </c>
      <c r="E11" s="17">
        <v>76</v>
      </c>
      <c r="F11" s="15">
        <v>410</v>
      </c>
      <c r="G11" s="15">
        <v>60</v>
      </c>
      <c r="H11" s="17">
        <v>32</v>
      </c>
    </row>
    <row r="12" spans="1:8">
      <c r="A12" s="14"/>
      <c r="B12" s="11" t="s">
        <v>16</v>
      </c>
      <c r="C12" s="10" t="s">
        <v>17</v>
      </c>
      <c r="D12" s="19">
        <f>D13+D14+D15</f>
        <v>788</v>
      </c>
      <c r="E12" s="12">
        <f>E13+E14+E15</f>
        <v>303</v>
      </c>
      <c r="F12" s="14"/>
      <c r="G12" s="14"/>
      <c r="H12" s="13"/>
    </row>
    <row r="13" spans="1:8">
      <c r="A13" s="20">
        <v>4</v>
      </c>
      <c r="B13" s="21" t="s">
        <v>17</v>
      </c>
      <c r="C13" s="21"/>
      <c r="D13" s="22">
        <v>433</v>
      </c>
      <c r="E13" s="23">
        <v>158</v>
      </c>
      <c r="F13" s="23">
        <v>395</v>
      </c>
      <c r="G13" s="23">
        <v>45</v>
      </c>
      <c r="H13" s="24"/>
    </row>
    <row r="14" spans="1:8">
      <c r="A14" s="20">
        <v>5</v>
      </c>
      <c r="B14" s="25" t="s">
        <v>18</v>
      </c>
      <c r="C14" s="21"/>
      <c r="D14" s="22">
        <v>67</v>
      </c>
      <c r="E14" s="23">
        <v>33</v>
      </c>
      <c r="F14" s="20">
        <v>403</v>
      </c>
      <c r="G14" s="20">
        <v>53</v>
      </c>
      <c r="H14" s="23">
        <v>8</v>
      </c>
    </row>
    <row r="15" spans="1:8">
      <c r="A15" s="20">
        <v>6</v>
      </c>
      <c r="B15" s="25" t="s">
        <v>19</v>
      </c>
      <c r="C15" s="21"/>
      <c r="D15" s="22">
        <v>288</v>
      </c>
      <c r="E15" s="23">
        <v>112</v>
      </c>
      <c r="F15" s="20">
        <v>368</v>
      </c>
      <c r="G15" s="20">
        <v>18</v>
      </c>
      <c r="H15" s="23">
        <v>27</v>
      </c>
    </row>
    <row r="16" spans="1:8">
      <c r="A16" s="14"/>
      <c r="B16" s="11" t="s">
        <v>20</v>
      </c>
      <c r="C16" s="10" t="s">
        <v>21</v>
      </c>
      <c r="D16" s="26">
        <f>D17+D18</f>
        <v>190</v>
      </c>
      <c r="E16" s="12">
        <f>E17+E18</f>
        <v>61</v>
      </c>
      <c r="F16" s="14"/>
      <c r="G16" s="14"/>
      <c r="H16" s="13"/>
    </row>
    <row r="17" spans="1:8">
      <c r="A17" s="20">
        <v>7</v>
      </c>
      <c r="B17" s="25" t="s">
        <v>21</v>
      </c>
      <c r="C17" s="21"/>
      <c r="D17" s="22">
        <v>13</v>
      </c>
      <c r="E17" s="23">
        <v>4</v>
      </c>
      <c r="F17" s="23">
        <v>495</v>
      </c>
      <c r="G17" s="23">
        <v>115</v>
      </c>
      <c r="H17" s="23"/>
    </row>
    <row r="18" spans="1:8">
      <c r="A18" s="20">
        <v>8</v>
      </c>
      <c r="B18" s="25" t="s">
        <v>22</v>
      </c>
      <c r="C18" s="21"/>
      <c r="D18" s="22">
        <v>177</v>
      </c>
      <c r="E18" s="23">
        <v>57</v>
      </c>
      <c r="F18" s="20">
        <v>480</v>
      </c>
      <c r="G18" s="20">
        <v>100</v>
      </c>
      <c r="H18" s="23">
        <v>15</v>
      </c>
    </row>
    <row r="19" spans="1:8">
      <c r="A19" s="14"/>
      <c r="B19" s="11" t="s">
        <v>23</v>
      </c>
      <c r="C19" s="10" t="s">
        <v>24</v>
      </c>
      <c r="D19" s="19">
        <f>D20+D21+D22</f>
        <v>1430</v>
      </c>
      <c r="E19" s="19">
        <f>E20+E21+E22</f>
        <v>394</v>
      </c>
      <c r="F19" s="14"/>
      <c r="G19" s="14"/>
      <c r="H19" s="13"/>
    </row>
    <row r="20" spans="1:8">
      <c r="A20" s="20">
        <v>9</v>
      </c>
      <c r="B20" s="25" t="s">
        <v>24</v>
      </c>
      <c r="C20" s="21"/>
      <c r="D20" s="27">
        <v>843</v>
      </c>
      <c r="E20" s="23">
        <v>246</v>
      </c>
      <c r="F20" s="20">
        <v>408</v>
      </c>
      <c r="G20" s="20">
        <v>58</v>
      </c>
      <c r="H20" s="23"/>
    </row>
    <row r="21" spans="1:8">
      <c r="A21" s="28">
        <v>10</v>
      </c>
      <c r="B21" s="29" t="s">
        <v>25</v>
      </c>
      <c r="C21" s="30"/>
      <c r="D21" s="22">
        <v>327</v>
      </c>
      <c r="E21" s="23">
        <v>89</v>
      </c>
      <c r="F21" s="20">
        <v>421</v>
      </c>
      <c r="G21" s="20">
        <v>71</v>
      </c>
      <c r="H21" s="23">
        <v>13</v>
      </c>
    </row>
    <row r="22" spans="1:8">
      <c r="A22" s="28">
        <v>11</v>
      </c>
      <c r="B22" s="29" t="s">
        <v>26</v>
      </c>
      <c r="C22" s="30"/>
      <c r="D22" s="22">
        <v>260</v>
      </c>
      <c r="E22" s="23">
        <v>59</v>
      </c>
      <c r="F22" s="20">
        <v>446</v>
      </c>
      <c r="G22" s="20">
        <v>96</v>
      </c>
      <c r="H22" s="23">
        <v>35</v>
      </c>
    </row>
    <row r="23" spans="1:8">
      <c r="A23" s="14"/>
      <c r="B23" s="11" t="s">
        <v>27</v>
      </c>
      <c r="C23" s="10" t="s">
        <v>28</v>
      </c>
      <c r="D23" s="26">
        <f>D24+D25</f>
        <v>265</v>
      </c>
      <c r="E23" s="12">
        <f>E24+E25</f>
        <v>75</v>
      </c>
      <c r="F23" s="14"/>
      <c r="G23" s="14"/>
      <c r="H23" s="13"/>
    </row>
    <row r="24" spans="1:8">
      <c r="A24" s="20">
        <v>12</v>
      </c>
      <c r="B24" s="25" t="s">
        <v>28</v>
      </c>
      <c r="C24" s="21"/>
      <c r="D24" s="22">
        <v>217</v>
      </c>
      <c r="E24" s="23">
        <v>54</v>
      </c>
      <c r="F24" s="20">
        <v>550</v>
      </c>
      <c r="G24" s="20">
        <v>150</v>
      </c>
      <c r="H24" s="23"/>
    </row>
    <row r="25" spans="1:8">
      <c r="A25" s="20">
        <v>13</v>
      </c>
      <c r="B25" s="25" t="s">
        <v>29</v>
      </c>
      <c r="C25" s="21"/>
      <c r="D25" s="22">
        <v>48</v>
      </c>
      <c r="E25" s="23">
        <v>21</v>
      </c>
      <c r="F25" s="20">
        <v>525</v>
      </c>
      <c r="G25" s="20">
        <v>125</v>
      </c>
      <c r="H25" s="23">
        <v>25</v>
      </c>
    </row>
    <row r="26" spans="1:8">
      <c r="A26" s="31"/>
      <c r="B26" s="32" t="s">
        <v>30</v>
      </c>
      <c r="C26" s="33" t="s">
        <v>31</v>
      </c>
      <c r="D26" s="26">
        <f>D27+D28</f>
        <v>256</v>
      </c>
      <c r="E26" s="12">
        <f>E27+E28</f>
        <v>74</v>
      </c>
      <c r="F26" s="14"/>
      <c r="G26" s="14"/>
      <c r="H26" s="13"/>
    </row>
    <row r="27" spans="1:8">
      <c r="A27" s="20">
        <v>14</v>
      </c>
      <c r="B27" s="25" t="s">
        <v>31</v>
      </c>
      <c r="C27" s="21"/>
      <c r="D27" s="22">
        <v>200</v>
      </c>
      <c r="E27" s="23">
        <v>50</v>
      </c>
      <c r="F27" s="20">
        <v>413</v>
      </c>
      <c r="G27" s="20">
        <v>60</v>
      </c>
      <c r="H27" s="23"/>
    </row>
    <row r="28" spans="1:8">
      <c r="A28" s="28">
        <v>15</v>
      </c>
      <c r="B28" s="29" t="s">
        <v>32</v>
      </c>
      <c r="C28" s="30"/>
      <c r="D28" s="22">
        <v>56</v>
      </c>
      <c r="E28" s="23">
        <v>24</v>
      </c>
      <c r="F28" s="20">
        <v>448</v>
      </c>
      <c r="G28" s="20">
        <v>104</v>
      </c>
      <c r="H28" s="23">
        <v>35</v>
      </c>
    </row>
    <row r="29" spans="1:8">
      <c r="A29" s="14"/>
      <c r="B29" s="11" t="s">
        <v>33</v>
      </c>
      <c r="C29" s="10" t="s">
        <v>34</v>
      </c>
      <c r="D29" s="26">
        <f>D30</f>
        <v>81</v>
      </c>
      <c r="E29" s="12">
        <f>E30</f>
        <v>30</v>
      </c>
      <c r="F29" s="14"/>
      <c r="G29" s="14"/>
      <c r="H29" s="13"/>
    </row>
    <row r="30" spans="1:8">
      <c r="A30" s="28">
        <v>16</v>
      </c>
      <c r="B30" s="29" t="s">
        <v>34</v>
      </c>
      <c r="C30" s="30"/>
      <c r="D30" s="22">
        <v>81</v>
      </c>
      <c r="E30" s="23">
        <v>30</v>
      </c>
      <c r="F30" s="20">
        <v>505</v>
      </c>
      <c r="G30" s="20">
        <v>120</v>
      </c>
      <c r="H30" s="23"/>
    </row>
    <row r="31" spans="1:8">
      <c r="A31" s="31"/>
      <c r="B31" s="32" t="s">
        <v>35</v>
      </c>
      <c r="C31" s="33" t="s">
        <v>36</v>
      </c>
      <c r="D31" s="26">
        <f>D32+D33</f>
        <v>501</v>
      </c>
      <c r="E31" s="26">
        <f>E32+E33</f>
        <v>143</v>
      </c>
      <c r="F31" s="14"/>
      <c r="G31" s="14"/>
      <c r="H31" s="13"/>
    </row>
    <row r="32" spans="1:8">
      <c r="A32" s="20">
        <v>17</v>
      </c>
      <c r="B32" s="25" t="s">
        <v>36</v>
      </c>
      <c r="C32" s="21"/>
      <c r="D32" s="22">
        <v>312</v>
      </c>
      <c r="E32" s="23">
        <v>87</v>
      </c>
      <c r="F32" s="20">
        <v>400</v>
      </c>
      <c r="G32" s="20">
        <v>50</v>
      </c>
      <c r="H32" s="23"/>
    </row>
    <row r="33" spans="1:8">
      <c r="A33" s="28">
        <v>18</v>
      </c>
      <c r="B33" s="29" t="s">
        <v>37</v>
      </c>
      <c r="C33" s="30"/>
      <c r="D33" s="22">
        <v>189</v>
      </c>
      <c r="E33" s="23">
        <v>56</v>
      </c>
      <c r="F33" s="20">
        <v>420</v>
      </c>
      <c r="G33" s="20">
        <v>70</v>
      </c>
      <c r="H33" s="23">
        <v>20</v>
      </c>
    </row>
    <row r="34" spans="1:8">
      <c r="A34" s="31"/>
      <c r="B34" s="32" t="s">
        <v>38</v>
      </c>
      <c r="C34" s="33" t="s">
        <v>39</v>
      </c>
      <c r="D34" s="26">
        <f>D35+D36+D37</f>
        <v>1151</v>
      </c>
      <c r="E34" s="12">
        <f>E35+E36+E37</f>
        <v>253</v>
      </c>
      <c r="F34" s="14"/>
      <c r="G34" s="14"/>
      <c r="H34" s="13"/>
    </row>
    <row r="35" spans="1:8">
      <c r="A35" s="20">
        <v>19</v>
      </c>
      <c r="B35" s="25" t="s">
        <v>39</v>
      </c>
      <c r="C35" s="21"/>
      <c r="D35" s="22">
        <v>783</v>
      </c>
      <c r="E35" s="23">
        <v>169</v>
      </c>
      <c r="F35" s="20">
        <v>530</v>
      </c>
      <c r="G35" s="20">
        <v>190</v>
      </c>
      <c r="H35" s="23"/>
    </row>
    <row r="36" spans="1:8">
      <c r="A36" s="20">
        <v>20</v>
      </c>
      <c r="B36" s="25" t="s">
        <v>40</v>
      </c>
      <c r="C36" s="21"/>
      <c r="D36" s="22">
        <v>223</v>
      </c>
      <c r="E36" s="23">
        <v>48</v>
      </c>
      <c r="F36" s="20">
        <v>525</v>
      </c>
      <c r="G36" s="20">
        <v>197</v>
      </c>
      <c r="H36" s="23">
        <v>5</v>
      </c>
    </row>
    <row r="37" spans="1:8">
      <c r="A37" s="20">
        <v>21</v>
      </c>
      <c r="B37" s="25" t="s">
        <v>41</v>
      </c>
      <c r="C37" s="21"/>
      <c r="D37" s="22">
        <v>145</v>
      </c>
      <c r="E37" s="23">
        <v>36</v>
      </c>
      <c r="F37" s="20">
        <v>537</v>
      </c>
      <c r="G37" s="20">
        <v>225</v>
      </c>
      <c r="H37" s="23">
        <v>18</v>
      </c>
    </row>
    <row r="38" spans="1:8">
      <c r="A38" s="31"/>
      <c r="B38" s="32" t="s">
        <v>42</v>
      </c>
      <c r="C38" s="33" t="s">
        <v>43</v>
      </c>
      <c r="D38" s="19">
        <f>D39+D40</f>
        <v>691</v>
      </c>
      <c r="E38" s="12">
        <f>E39+E40</f>
        <v>201</v>
      </c>
      <c r="F38" s="14"/>
      <c r="G38" s="14"/>
      <c r="H38" s="13"/>
    </row>
    <row r="39" spans="1:8">
      <c r="A39" s="20">
        <v>22</v>
      </c>
      <c r="B39" s="25" t="s">
        <v>43</v>
      </c>
      <c r="C39" s="21"/>
      <c r="D39" s="22">
        <v>346</v>
      </c>
      <c r="E39" s="23">
        <v>101</v>
      </c>
      <c r="F39" s="20">
        <v>368</v>
      </c>
      <c r="G39" s="20">
        <v>18</v>
      </c>
      <c r="H39" s="23"/>
    </row>
    <row r="40" spans="1:8">
      <c r="A40" s="28">
        <v>23</v>
      </c>
      <c r="B40" s="29" t="s">
        <v>44</v>
      </c>
      <c r="C40" s="30"/>
      <c r="D40" s="22">
        <v>345</v>
      </c>
      <c r="E40" s="23">
        <v>100</v>
      </c>
      <c r="F40" s="20">
        <v>387</v>
      </c>
      <c r="G40" s="20">
        <v>37</v>
      </c>
      <c r="H40" s="23">
        <v>19</v>
      </c>
    </row>
    <row r="41" spans="1:8">
      <c r="A41" s="14"/>
      <c r="B41" s="11" t="s">
        <v>45</v>
      </c>
      <c r="C41" s="10" t="s">
        <v>46</v>
      </c>
      <c r="D41" s="19">
        <f>D42</f>
        <v>5527</v>
      </c>
      <c r="E41" s="19">
        <f>E42</f>
        <v>1664</v>
      </c>
      <c r="F41" s="14"/>
      <c r="G41" s="14"/>
      <c r="H41" s="13"/>
    </row>
    <row r="42" spans="1:8">
      <c r="A42" s="20">
        <v>24</v>
      </c>
      <c r="B42" s="25" t="s">
        <v>46</v>
      </c>
      <c r="C42" s="21"/>
      <c r="D42" s="27">
        <v>5527</v>
      </c>
      <c r="E42" s="23">
        <v>1664</v>
      </c>
      <c r="F42" s="20">
        <v>350</v>
      </c>
      <c r="G42" s="20"/>
      <c r="H42" s="23"/>
    </row>
    <row r="43" spans="1:8">
      <c r="A43" s="20"/>
      <c r="B43" s="34" t="s">
        <v>47</v>
      </c>
      <c r="C43" s="35"/>
      <c r="D43" s="19">
        <f>D41+D38+D34+D31+D29+D26+D23+D19+D16+D12+D8</f>
        <v>11683</v>
      </c>
      <c r="E43" s="36">
        <f>E8+E12+E16+E19+E23+E26+E29+E31+E34+E38+E41</f>
        <v>3424</v>
      </c>
      <c r="F43" s="20"/>
      <c r="G43" s="20"/>
      <c r="H43" s="23"/>
    </row>
  </sheetData>
  <mergeCells count="10">
    <mergeCell ref="A1:H1"/>
    <mergeCell ref="A2:H2"/>
    <mergeCell ref="A3:H3"/>
    <mergeCell ref="F5:H5"/>
    <mergeCell ref="B43:C43"/>
    <mergeCell ref="A5:A6"/>
    <mergeCell ref="B5:B6"/>
    <mergeCell ref="C5:C6"/>
    <mergeCell ref="D5:D6"/>
    <mergeCell ref="E5:E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январь</vt:lpstr>
      <vt:lpstr>февраль</vt:lpstr>
      <vt:lpstr>март</vt:lpstr>
      <vt:lpstr>апрель</vt:lpstr>
      <vt:lpstr>май</vt:lpstr>
      <vt:lpstr>июнь</vt:lpstr>
      <vt:lpstr>июль</vt:lpstr>
      <vt:lpstr>август</vt:lpstr>
      <vt:lpstr>сентябрь</vt:lpstr>
      <vt:lpstr>октябрь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WPS_1747291582</cp:lastModifiedBy>
  <dcterms:created xsi:type="dcterms:W3CDTF">2006-09-16T00:00:00Z</dcterms:created>
  <dcterms:modified xsi:type="dcterms:W3CDTF">2026-10-13T04:26:30Z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29379C0143AC4D4EB946FF42DFD0BBB7_12</vt:lpwstr>
  </property>
  <property fmtid="{D5CDD505-2E9C-101B-9397-08002B2CF9AE}" pid="3" name="KSOProductBuildVer">
    <vt:lpwstr>1049-12.1.0.28485</vt:lpwstr>
  </property>
  <property fmtid="{D5CDD505-2E9C-101B-9397-08002B2CF9AE}" pid="4" name="CalculationRule">
    <vt:i4>0</vt:i4>
  </property>
</Properties>
</file>