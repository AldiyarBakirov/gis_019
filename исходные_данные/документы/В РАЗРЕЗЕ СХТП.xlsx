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5480" windowHeight="7950"/>
  </bookViews>
  <sheets>
    <sheet name="2026" sheetId="1" r:id="rId1"/>
  </sheets>
  <definedNames>
    <definedName name="_xlnm.Print_Titles" localSheetId="0">'2026'!$4:$5</definedName>
    <definedName name="_xlnm.Print_Area" localSheetId="0">'2026'!$A$1:$S$56</definedName>
  </definedNames>
  <calcPr calcId="124519"/>
</workbook>
</file>

<file path=xl/calcChain.xml><?xml version="1.0" encoding="utf-8"?>
<calcChain xmlns="http://schemas.openxmlformats.org/spreadsheetml/2006/main">
  <c r="Q47" i="1"/>
  <c r="R47"/>
  <c r="S47"/>
  <c r="Q30"/>
  <c r="R30"/>
  <c r="S30"/>
  <c r="P29"/>
  <c r="Q35"/>
  <c r="R35"/>
  <c r="S35"/>
  <c r="P33"/>
  <c r="P34"/>
  <c r="Q41"/>
  <c r="R41"/>
  <c r="S41"/>
  <c r="P39"/>
  <c r="P40"/>
  <c r="O44"/>
  <c r="Q44"/>
  <c r="R44"/>
  <c r="S44"/>
  <c r="Q51"/>
  <c r="R51"/>
  <c r="S51"/>
  <c r="P50"/>
  <c r="Q56"/>
  <c r="R56"/>
  <c r="S56"/>
  <c r="P54"/>
  <c r="P55"/>
  <c r="P53"/>
  <c r="P56" s="1"/>
  <c r="P49"/>
  <c r="P51" s="1"/>
  <c r="P46"/>
  <c r="P47" s="1"/>
  <c r="P43"/>
  <c r="P44" s="1"/>
  <c r="P38"/>
  <c r="P32"/>
  <c r="P28"/>
  <c r="P30" s="1"/>
  <c r="Q26"/>
  <c r="R26"/>
  <c r="S26"/>
  <c r="P24"/>
  <c r="P25"/>
  <c r="P35" l="1"/>
  <c r="P41"/>
  <c r="P23"/>
  <c r="P26" s="1"/>
  <c r="Q21"/>
  <c r="R21"/>
  <c r="S21"/>
  <c r="P19"/>
  <c r="P20"/>
  <c r="P18"/>
  <c r="P21" s="1"/>
  <c r="Q16"/>
  <c r="R16"/>
  <c r="S16"/>
  <c r="O16"/>
  <c r="P13"/>
  <c r="P14"/>
  <c r="P15"/>
  <c r="P12"/>
  <c r="P16" s="1"/>
  <c r="Q10"/>
  <c r="R10"/>
  <c r="S10"/>
  <c r="O10"/>
  <c r="P8"/>
  <c r="P9"/>
  <c r="P7"/>
  <c r="L9"/>
  <c r="D9"/>
  <c r="P10" l="1"/>
  <c r="L38"/>
  <c r="L18"/>
  <c r="L19"/>
  <c r="L24"/>
  <c r="L25"/>
  <c r="L28"/>
  <c r="L43"/>
  <c r="L50"/>
  <c r="L12"/>
  <c r="E26" l="1"/>
  <c r="O21" l="1"/>
  <c r="O26"/>
  <c r="D38"/>
  <c r="D18"/>
  <c r="D19"/>
  <c r="D24"/>
  <c r="D25"/>
  <c r="D28"/>
  <c r="D43"/>
  <c r="D50"/>
  <c r="D12"/>
  <c r="E41"/>
  <c r="D13"/>
  <c r="L13"/>
  <c r="L39"/>
  <c r="D39"/>
  <c r="E30" l="1"/>
  <c r="D14"/>
  <c r="L14"/>
  <c r="G21" l="1"/>
  <c r="E21"/>
  <c r="L29"/>
  <c r="D29"/>
  <c r="L23"/>
  <c r="D23"/>
  <c r="D20"/>
  <c r="L15"/>
  <c r="D21" l="1"/>
  <c r="L30"/>
  <c r="L16"/>
  <c r="N16" l="1"/>
  <c r="O51"/>
  <c r="O47"/>
  <c r="O41"/>
  <c r="O35"/>
  <c r="O30"/>
  <c r="D15" l="1"/>
  <c r="J10" l="1"/>
  <c r="J16"/>
  <c r="J21"/>
  <c r="J26"/>
  <c r="J30"/>
  <c r="J35"/>
  <c r="J41"/>
  <c r="J44"/>
  <c r="J47"/>
  <c r="J51"/>
  <c r="J56"/>
  <c r="O56" l="1"/>
  <c r="I51" l="1"/>
  <c r="I47"/>
  <c r="I41"/>
  <c r="I35"/>
  <c r="I30"/>
  <c r="I26"/>
  <c r="I21"/>
  <c r="I16"/>
  <c r="I10"/>
  <c r="I56"/>
  <c r="M16" l="1"/>
  <c r="D54" l="1"/>
  <c r="L54"/>
  <c r="E44" l="1"/>
  <c r="F44"/>
  <c r="G44"/>
  <c r="H44"/>
  <c r="K44"/>
  <c r="M44"/>
  <c r="N44"/>
  <c r="L33"/>
  <c r="D33"/>
  <c r="M10" l="1"/>
  <c r="E10" l="1"/>
  <c r="F41" l="1"/>
  <c r="G41"/>
  <c r="H41"/>
  <c r="K41"/>
  <c r="M41"/>
  <c r="N41"/>
  <c r="F30"/>
  <c r="G30"/>
  <c r="H30"/>
  <c r="K30"/>
  <c r="M30"/>
  <c r="N30"/>
  <c r="F21"/>
  <c r="H21"/>
  <c r="K21"/>
  <c r="M21"/>
  <c r="N21"/>
  <c r="E16"/>
  <c r="F16"/>
  <c r="G16"/>
  <c r="H16"/>
  <c r="K16"/>
  <c r="F10"/>
  <c r="G10"/>
  <c r="H10"/>
  <c r="K10"/>
  <c r="N10"/>
  <c r="L46" l="1"/>
  <c r="D46"/>
  <c r="F26"/>
  <c r="F56"/>
  <c r="F51"/>
  <c r="F47"/>
  <c r="F35"/>
  <c r="L49"/>
  <c r="D49"/>
  <c r="N26" l="1"/>
  <c r="M26"/>
  <c r="K26"/>
  <c r="H26"/>
  <c r="G26"/>
  <c r="L40"/>
  <c r="D40"/>
  <c r="N56"/>
  <c r="M56"/>
  <c r="K56"/>
  <c r="H56"/>
  <c r="G56"/>
  <c r="E56"/>
  <c r="L55"/>
  <c r="D55"/>
  <c r="L53"/>
  <c r="D53"/>
  <c r="N51"/>
  <c r="M51"/>
  <c r="K51"/>
  <c r="H51"/>
  <c r="G51"/>
  <c r="E51"/>
  <c r="N47"/>
  <c r="M47"/>
  <c r="K47"/>
  <c r="H47"/>
  <c r="G47"/>
  <c r="E47"/>
  <c r="L44"/>
  <c r="D44"/>
  <c r="L20"/>
  <c r="N35"/>
  <c r="M35"/>
  <c r="K35"/>
  <c r="H35"/>
  <c r="G35"/>
  <c r="E35"/>
  <c r="L34"/>
  <c r="D34"/>
  <c r="L32"/>
  <c r="D32"/>
  <c r="L8"/>
  <c r="D8"/>
  <c r="L7"/>
  <c r="D7"/>
  <c r="D41" l="1"/>
  <c r="L41"/>
  <c r="D26"/>
  <c r="D30"/>
  <c r="L26"/>
  <c r="D51"/>
  <c r="D16"/>
  <c r="D10"/>
  <c r="L21"/>
  <c r="D35"/>
  <c r="L10"/>
  <c r="L47"/>
  <c r="D56"/>
  <c r="D47"/>
  <c r="L35"/>
  <c r="L51"/>
  <c r="L56"/>
</calcChain>
</file>

<file path=xl/sharedStrings.xml><?xml version="1.0" encoding="utf-8"?>
<sst xmlns="http://schemas.openxmlformats.org/spreadsheetml/2006/main" count="72" uniqueCount="58">
  <si>
    <t>№ п.п.</t>
  </si>
  <si>
    <t>Наименование СХФ</t>
  </si>
  <si>
    <t>Масличные культуры, га</t>
  </si>
  <si>
    <t>Всего</t>
  </si>
  <si>
    <t>пшеница</t>
  </si>
  <si>
    <t>ячмень</t>
  </si>
  <si>
    <t>овес</t>
  </si>
  <si>
    <t>з/смесь</t>
  </si>
  <si>
    <t>лен</t>
  </si>
  <si>
    <t>рапс</t>
  </si>
  <si>
    <t>ТОО Акжол БСБ</t>
  </si>
  <si>
    <t>ТОО Анара</t>
  </si>
  <si>
    <t>ТОО Ар</t>
  </si>
  <si>
    <t>ТОО Ардак и М</t>
  </si>
  <si>
    <t>ТОО Саяхат Али</t>
  </si>
  <si>
    <t>ТОО Степной-4</t>
  </si>
  <si>
    <t>ТОО Unite Инвест</t>
  </si>
  <si>
    <t>ПТ Искаков и К</t>
  </si>
  <si>
    <t>Акбулакский сельский округ</t>
  </si>
  <si>
    <t>КХ Жолдасбаев</t>
  </si>
  <si>
    <t>КХ Сагандыков</t>
  </si>
  <si>
    <t>КХ Узбай</t>
  </si>
  <si>
    <t>ФХ Жолдасбай Агро</t>
  </si>
  <si>
    <t>ФХ Темирбек</t>
  </si>
  <si>
    <t>Актуесайский сельский округ</t>
  </si>
  <si>
    <t>КХ Бекбаев</t>
  </si>
  <si>
    <t>КХ Выбор</t>
  </si>
  <si>
    <t>КХ Нурас</t>
  </si>
  <si>
    <t>ФХ Нуржау</t>
  </si>
  <si>
    <t>КХ Тын-Нуржан</t>
  </si>
  <si>
    <t>Каратерекский сельский округ</t>
  </si>
  <si>
    <t>Карасуский сельский округ</t>
  </si>
  <si>
    <t>Кайратский сельский округ</t>
  </si>
  <si>
    <t>Кулыкольский сельский округ</t>
  </si>
  <si>
    <t>КХ Әділ</t>
  </si>
  <si>
    <t>КХ Елешкей</t>
  </si>
  <si>
    <t>ФХ Тулпар 2014</t>
  </si>
  <si>
    <t>Кишкенекольский сельский округ</t>
  </si>
  <si>
    <t>Коктерекский сельский округ</t>
  </si>
  <si>
    <t>КХ Булак</t>
  </si>
  <si>
    <t>Тельжанский сельский округ</t>
  </si>
  <si>
    <t>КХ Беркут</t>
  </si>
  <si>
    <t>Всего по округу:</t>
  </si>
  <si>
    <t>подсол-к</t>
  </si>
  <si>
    <t>Бидаикский сельский округ</t>
  </si>
  <si>
    <t>ФХ Арлан Агро</t>
  </si>
  <si>
    <t>гречиха</t>
  </si>
  <si>
    <t>Амангельдинский сельский округ</t>
  </si>
  <si>
    <t>Зерновые и зернобобовые культуры, га</t>
  </si>
  <si>
    <t>СПК Беркут</t>
  </si>
  <si>
    <t>ТОО КЕН ДАЛА ӨНІМІ</t>
  </si>
  <si>
    <t>кукуруза зерно</t>
  </si>
  <si>
    <t xml:space="preserve">чечевица </t>
  </si>
  <si>
    <t>Численность поголовья</t>
  </si>
  <si>
    <t>Лошади</t>
  </si>
  <si>
    <t>КРС</t>
  </si>
  <si>
    <t>МРС</t>
  </si>
  <si>
    <t>Основные сельхозтоваропроизводители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</si>
</sst>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 Narrow"/>
      <family val="2"/>
      <charset val="204"/>
    </font>
    <font>
      <sz val="9"/>
      <color indexed="8"/>
      <name val="Arial Narrow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8"/>
      <name val="Calibri"/>
      <family val="2"/>
      <charset val="204"/>
    </font>
    <font>
      <sz val="11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6" fillId="4" borderId="8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6"/>
  <sheetViews>
    <sheetView tabSelected="1" view="pageBreakPreview" zoomScale="85" zoomScaleSheetLayoutView="85" workbookViewId="0">
      <selection activeCell="K16" sqref="K16"/>
    </sheetView>
  </sheetViews>
  <sheetFormatPr defaultRowHeight="12.75"/>
  <cols>
    <col min="1" max="1" width="9.140625" style="3"/>
    <col min="2" max="2" width="4.140625" style="3" customWidth="1"/>
    <col min="3" max="3" width="25.28515625" style="8" customWidth="1"/>
    <col min="4" max="4" width="9.140625" style="3" customWidth="1"/>
    <col min="5" max="5" width="9" style="3" customWidth="1"/>
    <col min="6" max="6" width="8.28515625" style="3" customWidth="1"/>
    <col min="7" max="7" width="8" style="3" customWidth="1"/>
    <col min="8" max="9" width="7.7109375" style="3" customWidth="1"/>
    <col min="10" max="10" width="8" style="3" customWidth="1"/>
    <col min="11" max="11" width="7.7109375" style="3" customWidth="1"/>
    <col min="12" max="12" width="8.7109375" style="3" customWidth="1"/>
    <col min="13" max="13" width="7.7109375" style="3" customWidth="1"/>
    <col min="14" max="16" width="7.85546875" style="3" customWidth="1"/>
    <col min="17" max="18" width="8.28515625" style="3" customWidth="1"/>
    <col min="19" max="19" width="7.5703125" style="3" customWidth="1"/>
    <col min="20" max="20" width="9.140625" style="3"/>
    <col min="21" max="16384" width="9.140625" style="2"/>
  </cols>
  <sheetData>
    <row r="1" spans="1:20" s="1" customFormat="1" ht="15.75">
      <c r="A1" s="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"/>
    </row>
    <row r="2" spans="1:20" s="1" customFormat="1" ht="15.75">
      <c r="A2" s="3"/>
      <c r="B2" s="34" t="s">
        <v>57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"/>
    </row>
    <row r="3" spans="1:20" s="3" customFormat="1">
      <c r="C3" s="8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20" s="1" customFormat="1" ht="12.75" customHeight="1">
      <c r="A4" s="3"/>
      <c r="B4" s="35" t="s">
        <v>0</v>
      </c>
      <c r="C4" s="35" t="s">
        <v>1</v>
      </c>
      <c r="D4" s="38" t="s">
        <v>48</v>
      </c>
      <c r="E4" s="38"/>
      <c r="F4" s="38"/>
      <c r="G4" s="38"/>
      <c r="H4" s="38"/>
      <c r="I4" s="38"/>
      <c r="J4" s="38"/>
      <c r="K4" s="38"/>
      <c r="L4" s="38" t="s">
        <v>2</v>
      </c>
      <c r="M4" s="38"/>
      <c r="N4" s="38"/>
      <c r="O4" s="38"/>
      <c r="P4" s="39" t="s">
        <v>53</v>
      </c>
      <c r="Q4" s="40"/>
      <c r="R4" s="40"/>
      <c r="S4" s="41"/>
      <c r="T4" s="3"/>
    </row>
    <row r="5" spans="1:20" s="7" customFormat="1" ht="24.75" customHeight="1">
      <c r="B5" s="36"/>
      <c r="C5" s="36"/>
      <c r="D5" s="4" t="s">
        <v>3</v>
      </c>
      <c r="E5" s="22" t="s">
        <v>4</v>
      </c>
      <c r="F5" s="22" t="s">
        <v>5</v>
      </c>
      <c r="G5" s="22" t="s">
        <v>6</v>
      </c>
      <c r="H5" s="21" t="s">
        <v>7</v>
      </c>
      <c r="I5" s="6" t="s">
        <v>51</v>
      </c>
      <c r="J5" s="6" t="s">
        <v>46</v>
      </c>
      <c r="K5" s="6" t="s">
        <v>52</v>
      </c>
      <c r="L5" s="4" t="s">
        <v>3</v>
      </c>
      <c r="M5" s="22" t="s">
        <v>8</v>
      </c>
      <c r="N5" s="22" t="s">
        <v>9</v>
      </c>
      <c r="O5" s="5" t="s">
        <v>43</v>
      </c>
      <c r="P5" s="4" t="s">
        <v>3</v>
      </c>
      <c r="Q5" s="4" t="s">
        <v>54</v>
      </c>
      <c r="R5" s="21" t="s">
        <v>55</v>
      </c>
      <c r="S5" s="21" t="s">
        <v>56</v>
      </c>
    </row>
    <row r="6" spans="1:20" s="8" customFormat="1">
      <c r="B6" s="31" t="s">
        <v>18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18"/>
    </row>
    <row r="7" spans="1:20" s="8" customFormat="1">
      <c r="B7" s="28">
        <v>1</v>
      </c>
      <c r="C7" s="9" t="s">
        <v>19</v>
      </c>
      <c r="D7" s="14">
        <f>SUM(E7:K7)</f>
        <v>1110</v>
      </c>
      <c r="E7" s="14">
        <v>930</v>
      </c>
      <c r="F7" s="14">
        <v>180</v>
      </c>
      <c r="G7" s="14"/>
      <c r="H7" s="14"/>
      <c r="I7" s="14"/>
      <c r="J7" s="14"/>
      <c r="K7" s="14"/>
      <c r="L7" s="14">
        <f>SUM(M7:O7)</f>
        <v>1220</v>
      </c>
      <c r="M7" s="14">
        <v>1220</v>
      </c>
      <c r="N7" s="14"/>
      <c r="O7" s="14"/>
      <c r="P7" s="14">
        <f>Q7+R7+S7</f>
        <v>0</v>
      </c>
      <c r="Q7" s="14"/>
      <c r="R7" s="14"/>
      <c r="S7" s="14"/>
    </row>
    <row r="8" spans="1:20" s="8" customFormat="1">
      <c r="B8" s="29">
        <v>2</v>
      </c>
      <c r="C8" s="9" t="s">
        <v>20</v>
      </c>
      <c r="D8" s="14">
        <f>SUM(E8:K8)</f>
        <v>2819</v>
      </c>
      <c r="E8" s="14">
        <v>2419</v>
      </c>
      <c r="F8" s="14">
        <v>400</v>
      </c>
      <c r="G8" s="14"/>
      <c r="H8" s="14"/>
      <c r="I8" s="14"/>
      <c r="J8" s="14"/>
      <c r="K8" s="14"/>
      <c r="L8" s="14">
        <f>SUM(M8:O8)</f>
        <v>2000</v>
      </c>
      <c r="M8" s="14">
        <v>2000</v>
      </c>
      <c r="N8" s="14"/>
      <c r="O8" s="14"/>
      <c r="P8" s="14">
        <f t="shared" ref="P8:P9" si="0">Q8+R8+S8</f>
        <v>795</v>
      </c>
      <c r="Q8" s="14">
        <v>695</v>
      </c>
      <c r="R8" s="14">
        <v>100</v>
      </c>
      <c r="S8" s="14"/>
    </row>
    <row r="9" spans="1:20" s="8" customFormat="1">
      <c r="B9" s="29">
        <v>3</v>
      </c>
      <c r="C9" s="9" t="s">
        <v>10</v>
      </c>
      <c r="D9" s="14">
        <f>SUM(E9:K9)</f>
        <v>854</v>
      </c>
      <c r="E9" s="14">
        <v>359</v>
      </c>
      <c r="F9" s="14">
        <v>388</v>
      </c>
      <c r="G9" s="14">
        <v>107</v>
      </c>
      <c r="H9" s="14"/>
      <c r="I9" s="14"/>
      <c r="J9" s="14"/>
      <c r="K9" s="14"/>
      <c r="L9" s="14">
        <f>SUM(M9:O9)</f>
        <v>705</v>
      </c>
      <c r="M9" s="14">
        <v>705</v>
      </c>
      <c r="N9" s="14"/>
      <c r="O9" s="14"/>
      <c r="P9" s="14">
        <f t="shared" si="0"/>
        <v>0</v>
      </c>
      <c r="Q9" s="14"/>
      <c r="R9" s="14"/>
      <c r="S9" s="14"/>
    </row>
    <row r="10" spans="1:20" s="8" customFormat="1">
      <c r="B10" s="31" t="s">
        <v>42</v>
      </c>
      <c r="C10" s="32"/>
      <c r="D10" s="12">
        <f t="shared" ref="D10:O10" si="1">SUM(D7:D9)</f>
        <v>4783</v>
      </c>
      <c r="E10" s="12">
        <f t="shared" si="1"/>
        <v>3708</v>
      </c>
      <c r="F10" s="12">
        <f t="shared" si="1"/>
        <v>968</v>
      </c>
      <c r="G10" s="12">
        <f t="shared" si="1"/>
        <v>107</v>
      </c>
      <c r="H10" s="12">
        <f t="shared" si="1"/>
        <v>0</v>
      </c>
      <c r="I10" s="12">
        <f t="shared" si="1"/>
        <v>0</v>
      </c>
      <c r="J10" s="12">
        <f t="shared" si="1"/>
        <v>0</v>
      </c>
      <c r="K10" s="12">
        <f t="shared" si="1"/>
        <v>0</v>
      </c>
      <c r="L10" s="12">
        <f t="shared" si="1"/>
        <v>3925</v>
      </c>
      <c r="M10" s="12">
        <f t="shared" si="1"/>
        <v>3925</v>
      </c>
      <c r="N10" s="12">
        <f t="shared" si="1"/>
        <v>0</v>
      </c>
      <c r="O10" s="12">
        <f t="shared" si="1"/>
        <v>0</v>
      </c>
      <c r="P10" s="12">
        <f t="shared" ref="P10:S10" si="2">SUM(P7:P9)</f>
        <v>795</v>
      </c>
      <c r="Q10" s="12">
        <f t="shared" si="2"/>
        <v>695</v>
      </c>
      <c r="R10" s="12">
        <f t="shared" si="2"/>
        <v>100</v>
      </c>
      <c r="S10" s="12">
        <f t="shared" si="2"/>
        <v>0</v>
      </c>
    </row>
    <row r="11" spans="1:20" s="8" customFormat="1">
      <c r="B11" s="31" t="s">
        <v>24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18"/>
    </row>
    <row r="12" spans="1:20" s="8" customFormat="1">
      <c r="B12" s="27">
        <v>1</v>
      </c>
      <c r="C12" s="9" t="s">
        <v>17</v>
      </c>
      <c r="D12" s="14">
        <f>SUM(E12:K12)</f>
        <v>6580</v>
      </c>
      <c r="E12" s="14">
        <v>6580</v>
      </c>
      <c r="F12" s="14"/>
      <c r="G12" s="14"/>
      <c r="H12" s="14"/>
      <c r="I12" s="14"/>
      <c r="J12" s="14"/>
      <c r="K12" s="14"/>
      <c r="L12" s="14">
        <f>SUM(M12:O12)</f>
        <v>2000</v>
      </c>
      <c r="M12" s="14">
        <v>1800</v>
      </c>
      <c r="N12" s="14">
        <v>200</v>
      </c>
      <c r="O12" s="14"/>
      <c r="P12" s="14">
        <f>Q12+R12+S12</f>
        <v>2427</v>
      </c>
      <c r="Q12" s="14"/>
      <c r="R12" s="27">
        <v>1271</v>
      </c>
      <c r="S12" s="27">
        <v>1156</v>
      </c>
    </row>
    <row r="13" spans="1:20" s="8" customFormat="1">
      <c r="B13" s="27">
        <v>2</v>
      </c>
      <c r="C13" s="9" t="s">
        <v>25</v>
      </c>
      <c r="D13" s="14">
        <f>SUM(E13:K13)</f>
        <v>1480</v>
      </c>
      <c r="E13" s="27">
        <v>240</v>
      </c>
      <c r="F13" s="27">
        <v>890</v>
      </c>
      <c r="G13" s="27">
        <v>100</v>
      </c>
      <c r="H13" s="27"/>
      <c r="I13" s="27">
        <v>250</v>
      </c>
      <c r="J13" s="27"/>
      <c r="K13" s="27"/>
      <c r="L13" s="14">
        <f>SUM(M13:O13)</f>
        <v>1328</v>
      </c>
      <c r="M13" s="27">
        <v>1328</v>
      </c>
      <c r="N13" s="27"/>
      <c r="O13" s="27"/>
      <c r="P13" s="14">
        <f t="shared" ref="P13:P15" si="3">Q13+R13+S13</f>
        <v>0</v>
      </c>
      <c r="Q13" s="14"/>
      <c r="R13" s="27"/>
      <c r="S13" s="27"/>
      <c r="T13" s="25"/>
    </row>
    <row r="14" spans="1:20" s="8" customFormat="1">
      <c r="B14" s="27">
        <v>3</v>
      </c>
      <c r="C14" s="26" t="s">
        <v>22</v>
      </c>
      <c r="D14" s="14">
        <f>SUM(E14:K14)</f>
        <v>4221</v>
      </c>
      <c r="E14" s="14">
        <v>1911</v>
      </c>
      <c r="F14" s="14">
        <v>1831</v>
      </c>
      <c r="G14" s="14">
        <v>479</v>
      </c>
      <c r="H14" s="14"/>
      <c r="I14" s="14"/>
      <c r="J14" s="14"/>
      <c r="K14" s="14"/>
      <c r="L14" s="14">
        <f>SUM(M14:O14)</f>
        <v>4979</v>
      </c>
      <c r="M14" s="14">
        <v>2398</v>
      </c>
      <c r="N14" s="14">
        <v>2581</v>
      </c>
      <c r="O14" s="14"/>
      <c r="P14" s="14">
        <f t="shared" si="3"/>
        <v>1378</v>
      </c>
      <c r="Q14" s="14"/>
      <c r="R14" s="14">
        <v>1378</v>
      </c>
      <c r="S14" s="14"/>
      <c r="T14" s="25"/>
    </row>
    <row r="15" spans="1:20" s="8" customFormat="1">
      <c r="B15" s="11">
        <v>4</v>
      </c>
      <c r="C15" s="9" t="s">
        <v>26</v>
      </c>
      <c r="D15" s="14">
        <f>SUM(E15:K15)</f>
        <v>454</v>
      </c>
      <c r="E15" s="14">
        <v>374</v>
      </c>
      <c r="F15" s="14"/>
      <c r="G15" s="14"/>
      <c r="H15" s="14"/>
      <c r="I15" s="14"/>
      <c r="J15" s="14"/>
      <c r="K15" s="14">
        <v>80</v>
      </c>
      <c r="L15" s="14">
        <f>SUM(M15:O15)</f>
        <v>203</v>
      </c>
      <c r="M15" s="14">
        <v>203</v>
      </c>
      <c r="N15" s="14"/>
      <c r="O15" s="14"/>
      <c r="P15" s="14">
        <f t="shared" si="3"/>
        <v>0</v>
      </c>
      <c r="Q15" s="14"/>
      <c r="R15" s="14"/>
      <c r="S15" s="14"/>
    </row>
    <row r="16" spans="1:20" s="8" customFormat="1">
      <c r="B16" s="31" t="s">
        <v>42</v>
      </c>
      <c r="C16" s="32"/>
      <c r="D16" s="12">
        <f t="shared" ref="D16:O16" si="4">SUM(D12:D15)</f>
        <v>12735</v>
      </c>
      <c r="E16" s="12">
        <f t="shared" si="4"/>
        <v>9105</v>
      </c>
      <c r="F16" s="12">
        <f t="shared" si="4"/>
        <v>2721</v>
      </c>
      <c r="G16" s="12">
        <f t="shared" si="4"/>
        <v>579</v>
      </c>
      <c r="H16" s="12">
        <f t="shared" si="4"/>
        <v>0</v>
      </c>
      <c r="I16" s="12">
        <f t="shared" si="4"/>
        <v>250</v>
      </c>
      <c r="J16" s="12">
        <f t="shared" si="4"/>
        <v>0</v>
      </c>
      <c r="K16" s="12">
        <f t="shared" si="4"/>
        <v>80</v>
      </c>
      <c r="L16" s="12">
        <f t="shared" si="4"/>
        <v>8510</v>
      </c>
      <c r="M16" s="12">
        <f t="shared" si="4"/>
        <v>5729</v>
      </c>
      <c r="N16" s="12">
        <f t="shared" si="4"/>
        <v>2781</v>
      </c>
      <c r="O16" s="12">
        <f t="shared" si="4"/>
        <v>0</v>
      </c>
      <c r="P16" s="12">
        <f t="shared" ref="P16:S16" si="5">SUM(P12:P15)</f>
        <v>3805</v>
      </c>
      <c r="Q16" s="12">
        <f t="shared" si="5"/>
        <v>0</v>
      </c>
      <c r="R16" s="12">
        <f t="shared" si="5"/>
        <v>2649</v>
      </c>
      <c r="S16" s="12">
        <f t="shared" si="5"/>
        <v>1156</v>
      </c>
    </row>
    <row r="17" spans="2:20" s="8" customFormat="1">
      <c r="B17" s="31" t="s">
        <v>44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8"/>
    </row>
    <row r="18" spans="2:20" s="8" customFormat="1" ht="12" customHeight="1">
      <c r="B18" s="27">
        <v>1</v>
      </c>
      <c r="C18" s="20" t="s">
        <v>12</v>
      </c>
      <c r="D18" s="14">
        <f>SUM(E18:K18)</f>
        <v>3145</v>
      </c>
      <c r="E18" s="14">
        <v>2777</v>
      </c>
      <c r="F18" s="14">
        <v>250</v>
      </c>
      <c r="G18" s="14">
        <v>118</v>
      </c>
      <c r="H18" s="14"/>
      <c r="I18" s="14"/>
      <c r="J18" s="14"/>
      <c r="K18" s="14"/>
      <c r="L18" s="14">
        <f>SUM(M18:O18)</f>
        <v>1941</v>
      </c>
      <c r="M18" s="14">
        <v>1508</v>
      </c>
      <c r="N18" s="14"/>
      <c r="O18" s="14">
        <v>433</v>
      </c>
      <c r="P18" s="14">
        <f t="shared" ref="P18:P20" si="6">Q18+R18+S18</f>
        <v>568</v>
      </c>
      <c r="Q18" s="14"/>
      <c r="R18" s="27"/>
      <c r="S18" s="27">
        <v>568</v>
      </c>
    </row>
    <row r="19" spans="2:20" s="8" customFormat="1" ht="12.75" customHeight="1">
      <c r="B19" s="27">
        <v>2</v>
      </c>
      <c r="C19" s="20" t="s">
        <v>13</v>
      </c>
      <c r="D19" s="14">
        <f>SUM(E19:K19)</f>
        <v>460</v>
      </c>
      <c r="E19" s="14">
        <v>460</v>
      </c>
      <c r="F19" s="14"/>
      <c r="G19" s="14"/>
      <c r="H19" s="14"/>
      <c r="I19" s="14"/>
      <c r="J19" s="14"/>
      <c r="K19" s="14"/>
      <c r="L19" s="14">
        <f>SUM(M19:O19)</f>
        <v>350</v>
      </c>
      <c r="M19" s="14">
        <v>350</v>
      </c>
      <c r="N19" s="14"/>
      <c r="O19" s="14"/>
      <c r="P19" s="14">
        <f t="shared" si="6"/>
        <v>0</v>
      </c>
      <c r="Q19" s="14"/>
      <c r="R19" s="27"/>
      <c r="S19" s="27"/>
    </row>
    <row r="20" spans="2:20" s="8" customFormat="1">
      <c r="B20" s="19">
        <v>3</v>
      </c>
      <c r="C20" s="9" t="s">
        <v>29</v>
      </c>
      <c r="D20" s="14">
        <f>SUM(E20:K20)</f>
        <v>1428</v>
      </c>
      <c r="E20" s="14">
        <v>1018</v>
      </c>
      <c r="F20" s="14"/>
      <c r="G20" s="14"/>
      <c r="H20" s="14"/>
      <c r="I20" s="14"/>
      <c r="J20" s="14"/>
      <c r="K20" s="14">
        <v>410</v>
      </c>
      <c r="L20" s="14">
        <f>SUM(M20:O20)</f>
        <v>697</v>
      </c>
      <c r="M20" s="14">
        <v>289</v>
      </c>
      <c r="N20" s="14">
        <v>408</v>
      </c>
      <c r="O20" s="14"/>
      <c r="P20" s="14">
        <f t="shared" si="6"/>
        <v>0</v>
      </c>
      <c r="Q20" s="14"/>
      <c r="R20" s="14"/>
      <c r="S20" s="14"/>
    </row>
    <row r="21" spans="2:20" s="8" customFormat="1">
      <c r="B21" s="31" t="s">
        <v>42</v>
      </c>
      <c r="C21" s="32"/>
      <c r="D21" s="12">
        <f t="shared" ref="D21:O21" si="7">SUM(D18:D20)</f>
        <v>5033</v>
      </c>
      <c r="E21" s="12">
        <f t="shared" si="7"/>
        <v>4255</v>
      </c>
      <c r="F21" s="12">
        <f t="shared" si="7"/>
        <v>250</v>
      </c>
      <c r="G21" s="12">
        <f t="shared" si="7"/>
        <v>118</v>
      </c>
      <c r="H21" s="12">
        <f t="shared" si="7"/>
        <v>0</v>
      </c>
      <c r="I21" s="12">
        <f t="shared" si="7"/>
        <v>0</v>
      </c>
      <c r="J21" s="12">
        <f t="shared" si="7"/>
        <v>0</v>
      </c>
      <c r="K21" s="12">
        <f t="shared" si="7"/>
        <v>410</v>
      </c>
      <c r="L21" s="12">
        <f t="shared" si="7"/>
        <v>2988</v>
      </c>
      <c r="M21" s="12">
        <f t="shared" si="7"/>
        <v>2147</v>
      </c>
      <c r="N21" s="12">
        <f t="shared" si="7"/>
        <v>408</v>
      </c>
      <c r="O21" s="12">
        <f t="shared" si="7"/>
        <v>433</v>
      </c>
      <c r="P21" s="12">
        <f t="shared" ref="P21:S21" si="8">SUM(P18:P20)</f>
        <v>568</v>
      </c>
      <c r="Q21" s="12">
        <f t="shared" si="8"/>
        <v>0</v>
      </c>
      <c r="R21" s="12">
        <f t="shared" si="8"/>
        <v>0</v>
      </c>
      <c r="S21" s="12">
        <f t="shared" si="8"/>
        <v>568</v>
      </c>
    </row>
    <row r="22" spans="2:20" s="8" customFormat="1">
      <c r="B22" s="31" t="s">
        <v>40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18"/>
    </row>
    <row r="23" spans="2:20" s="8" customFormat="1" ht="14.25" customHeight="1">
      <c r="B23" s="27">
        <v>1</v>
      </c>
      <c r="C23" s="27" t="s">
        <v>41</v>
      </c>
      <c r="D23" s="14">
        <f>SUM(E23:K23)</f>
        <v>1849</v>
      </c>
      <c r="E23" s="27">
        <v>1849</v>
      </c>
      <c r="F23" s="27"/>
      <c r="G23" s="27"/>
      <c r="H23" s="27"/>
      <c r="I23" s="27"/>
      <c r="J23" s="27"/>
      <c r="K23" s="27"/>
      <c r="L23" s="15">
        <f>SUM(M23:O23)</f>
        <v>0</v>
      </c>
      <c r="M23" s="27"/>
      <c r="N23" s="27"/>
      <c r="O23" s="27"/>
      <c r="P23" s="14">
        <f t="shared" ref="P23:P25" si="9">Q23+R23+S23</f>
        <v>0</v>
      </c>
      <c r="Q23" s="14"/>
      <c r="R23" s="10"/>
      <c r="S23" s="27"/>
    </row>
    <row r="24" spans="2:20" s="8" customFormat="1">
      <c r="B24" s="27">
        <v>2</v>
      </c>
      <c r="C24" s="9" t="s">
        <v>14</v>
      </c>
      <c r="D24" s="14">
        <f>SUM(E24:K24)</f>
        <v>2808</v>
      </c>
      <c r="E24" s="14">
        <v>1703</v>
      </c>
      <c r="F24" s="14">
        <v>1105</v>
      </c>
      <c r="G24" s="14"/>
      <c r="H24" s="14"/>
      <c r="I24" s="14"/>
      <c r="J24" s="14"/>
      <c r="K24" s="14"/>
      <c r="L24" s="14">
        <f>SUM(M24:O24)</f>
        <v>1021</v>
      </c>
      <c r="M24" s="14"/>
      <c r="N24" s="14">
        <v>1021</v>
      </c>
      <c r="O24" s="14"/>
      <c r="P24" s="14">
        <f t="shared" si="9"/>
        <v>63</v>
      </c>
      <c r="Q24" s="14">
        <v>63</v>
      </c>
      <c r="R24" s="27"/>
      <c r="S24" s="27"/>
    </row>
    <row r="25" spans="2:20" s="8" customFormat="1">
      <c r="B25" s="27">
        <v>3</v>
      </c>
      <c r="C25" s="9" t="s">
        <v>15</v>
      </c>
      <c r="D25" s="14">
        <f>SUM(E25:K25)</f>
        <v>3000</v>
      </c>
      <c r="E25" s="14">
        <v>3000</v>
      </c>
      <c r="F25" s="14"/>
      <c r="G25" s="14"/>
      <c r="H25" s="14"/>
      <c r="I25" s="14"/>
      <c r="J25" s="14"/>
      <c r="K25" s="14"/>
      <c r="L25" s="14">
        <f>SUM(M25:O25)</f>
        <v>0</v>
      </c>
      <c r="M25" s="14"/>
      <c r="N25" s="14"/>
      <c r="O25" s="14"/>
      <c r="P25" s="14">
        <f t="shared" si="9"/>
        <v>0</v>
      </c>
      <c r="Q25" s="14"/>
      <c r="R25" s="27"/>
      <c r="S25" s="27"/>
    </row>
    <row r="26" spans="2:20" s="8" customFormat="1">
      <c r="B26" s="31" t="s">
        <v>42</v>
      </c>
      <c r="C26" s="32"/>
      <c r="D26" s="12">
        <f>SUM(E26:K26)</f>
        <v>7657</v>
      </c>
      <c r="E26" s="12">
        <f t="shared" ref="E26:K26" si="10">SUM(E23:E25)</f>
        <v>6552</v>
      </c>
      <c r="F26" s="12">
        <f t="shared" si="10"/>
        <v>1105</v>
      </c>
      <c r="G26" s="12">
        <f t="shared" si="10"/>
        <v>0</v>
      </c>
      <c r="H26" s="12">
        <f t="shared" si="10"/>
        <v>0</v>
      </c>
      <c r="I26" s="12">
        <f t="shared" si="10"/>
        <v>0</v>
      </c>
      <c r="J26" s="12">
        <f t="shared" si="10"/>
        <v>0</v>
      </c>
      <c r="K26" s="12">
        <f t="shared" si="10"/>
        <v>0</v>
      </c>
      <c r="L26" s="12">
        <f>SUM(M26:O26)</f>
        <v>1021</v>
      </c>
      <c r="M26" s="12">
        <f>SUM(M23:M25)</f>
        <v>0</v>
      </c>
      <c r="N26" s="12">
        <f>SUM(N23:N25)</f>
        <v>1021</v>
      </c>
      <c r="O26" s="12">
        <f>SUM(O23:O25)</f>
        <v>0</v>
      </c>
      <c r="P26" s="12">
        <f t="shared" ref="P26:S26" si="11">SUM(P23:P25)</f>
        <v>63</v>
      </c>
      <c r="Q26" s="12">
        <f t="shared" si="11"/>
        <v>63</v>
      </c>
      <c r="R26" s="12">
        <f t="shared" si="11"/>
        <v>0</v>
      </c>
      <c r="S26" s="12">
        <f t="shared" si="11"/>
        <v>0</v>
      </c>
    </row>
    <row r="27" spans="2:20" s="8" customFormat="1">
      <c r="B27" s="42" t="s">
        <v>38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18"/>
    </row>
    <row r="28" spans="2:20" s="8" customFormat="1">
      <c r="B28" s="27">
        <v>1</v>
      </c>
      <c r="C28" s="9" t="s">
        <v>16</v>
      </c>
      <c r="D28" s="14">
        <f>SUM(E28:K28)</f>
        <v>4904</v>
      </c>
      <c r="E28" s="14">
        <v>4091</v>
      </c>
      <c r="F28" s="14">
        <v>813</v>
      </c>
      <c r="G28" s="14"/>
      <c r="H28" s="14"/>
      <c r="I28" s="14"/>
      <c r="J28" s="14"/>
      <c r="K28" s="14"/>
      <c r="L28" s="14">
        <f>SUM(M28:O28)</f>
        <v>902</v>
      </c>
      <c r="M28" s="14">
        <v>902</v>
      </c>
      <c r="N28" s="14"/>
      <c r="O28" s="14"/>
      <c r="P28" s="14">
        <f t="shared" ref="P28:P29" si="12">Q28+R28+S28</f>
        <v>1207</v>
      </c>
      <c r="Q28" s="14">
        <v>698</v>
      </c>
      <c r="R28" s="14"/>
      <c r="S28" s="14">
        <v>509</v>
      </c>
    </row>
    <row r="29" spans="2:20" s="8" customFormat="1">
      <c r="B29" s="27">
        <v>2</v>
      </c>
      <c r="C29" s="10" t="s">
        <v>39</v>
      </c>
      <c r="D29" s="14">
        <f>SUM(E29:K29)</f>
        <v>3028</v>
      </c>
      <c r="E29" s="14">
        <v>2028</v>
      </c>
      <c r="F29" s="14">
        <v>1000</v>
      </c>
      <c r="G29" s="14"/>
      <c r="H29" s="14"/>
      <c r="I29" s="14"/>
      <c r="J29" s="14"/>
      <c r="K29" s="14"/>
      <c r="L29" s="15">
        <f>SUM(M29:O29)</f>
        <v>600</v>
      </c>
      <c r="M29" s="27">
        <v>600</v>
      </c>
      <c r="N29" s="27"/>
      <c r="O29" s="27"/>
      <c r="P29" s="14">
        <f t="shared" si="12"/>
        <v>72</v>
      </c>
      <c r="Q29" s="14">
        <v>72</v>
      </c>
      <c r="R29" s="27"/>
      <c r="S29" s="27"/>
    </row>
    <row r="30" spans="2:20" s="8" customFormat="1">
      <c r="B30" s="31" t="s">
        <v>42</v>
      </c>
      <c r="C30" s="32"/>
      <c r="D30" s="12">
        <f t="shared" ref="D30:O30" si="13">SUM(D28:D29)</f>
        <v>7932</v>
      </c>
      <c r="E30" s="12">
        <f t="shared" si="13"/>
        <v>6119</v>
      </c>
      <c r="F30" s="12">
        <f t="shared" si="13"/>
        <v>1813</v>
      </c>
      <c r="G30" s="12">
        <f t="shared" si="13"/>
        <v>0</v>
      </c>
      <c r="H30" s="12">
        <f t="shared" si="13"/>
        <v>0</v>
      </c>
      <c r="I30" s="12">
        <f t="shared" si="13"/>
        <v>0</v>
      </c>
      <c r="J30" s="12">
        <f t="shared" si="13"/>
        <v>0</v>
      </c>
      <c r="K30" s="12">
        <f t="shared" si="13"/>
        <v>0</v>
      </c>
      <c r="L30" s="12">
        <f t="shared" si="13"/>
        <v>1502</v>
      </c>
      <c r="M30" s="12">
        <f t="shared" si="13"/>
        <v>1502</v>
      </c>
      <c r="N30" s="12">
        <f t="shared" si="13"/>
        <v>0</v>
      </c>
      <c r="O30" s="12">
        <f t="shared" si="13"/>
        <v>0</v>
      </c>
      <c r="P30" s="12">
        <f t="shared" ref="P30:S30" si="14">SUM(P28:P29)</f>
        <v>1279</v>
      </c>
      <c r="Q30" s="12">
        <f t="shared" si="14"/>
        <v>770</v>
      </c>
      <c r="R30" s="12">
        <f t="shared" si="14"/>
        <v>0</v>
      </c>
      <c r="S30" s="12">
        <f t="shared" si="14"/>
        <v>509</v>
      </c>
    </row>
    <row r="31" spans="2:20" s="8" customFormat="1">
      <c r="B31" s="31" t="s">
        <v>47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2:20" s="8" customFormat="1">
      <c r="B32" s="27">
        <v>1</v>
      </c>
      <c r="C32" s="27" t="s">
        <v>27</v>
      </c>
      <c r="D32" s="14">
        <f>SUM(E32:K32)</f>
        <v>300</v>
      </c>
      <c r="E32" s="14">
        <v>300</v>
      </c>
      <c r="F32" s="14"/>
      <c r="G32" s="14"/>
      <c r="H32" s="14"/>
      <c r="I32" s="14"/>
      <c r="J32" s="14"/>
      <c r="K32" s="14"/>
      <c r="L32" s="14">
        <f>SUM(M32:O32)</f>
        <v>0</v>
      </c>
      <c r="M32" s="14"/>
      <c r="N32" s="14"/>
      <c r="O32" s="14"/>
      <c r="P32" s="14">
        <f t="shared" ref="P32:P34" si="15">Q32+R32+S32</f>
        <v>0</v>
      </c>
      <c r="Q32" s="14"/>
      <c r="R32" s="14"/>
      <c r="S32" s="14"/>
      <c r="T32" s="25"/>
    </row>
    <row r="33" spans="2:20" s="8" customFormat="1">
      <c r="B33" s="27">
        <v>2</v>
      </c>
      <c r="C33" s="27" t="s">
        <v>45</v>
      </c>
      <c r="D33" s="14">
        <f>SUM(E33:K33)</f>
        <v>256</v>
      </c>
      <c r="E33" s="14">
        <v>256</v>
      </c>
      <c r="F33" s="14"/>
      <c r="G33" s="14"/>
      <c r="H33" s="14"/>
      <c r="I33" s="14"/>
      <c r="J33" s="14"/>
      <c r="K33" s="14"/>
      <c r="L33" s="14">
        <f>SUM(M33:O33)</f>
        <v>77</v>
      </c>
      <c r="M33" s="14">
        <v>77</v>
      </c>
      <c r="N33" s="14"/>
      <c r="O33" s="14"/>
      <c r="P33" s="14">
        <f t="shared" si="15"/>
        <v>0</v>
      </c>
      <c r="Q33" s="14"/>
      <c r="R33" s="14"/>
      <c r="S33" s="14"/>
      <c r="T33" s="25"/>
    </row>
    <row r="34" spans="2:20" s="8" customFormat="1">
      <c r="B34" s="27">
        <v>3</v>
      </c>
      <c r="C34" s="27" t="s">
        <v>28</v>
      </c>
      <c r="D34" s="14">
        <f>SUM(E34:K34)</f>
        <v>530</v>
      </c>
      <c r="E34" s="14">
        <v>530</v>
      </c>
      <c r="F34" s="14"/>
      <c r="G34" s="14"/>
      <c r="H34" s="14"/>
      <c r="I34" s="14"/>
      <c r="J34" s="14"/>
      <c r="K34" s="14"/>
      <c r="L34" s="14">
        <f>SUM(M34:O34)</f>
        <v>0</v>
      </c>
      <c r="M34" s="14"/>
      <c r="N34" s="14"/>
      <c r="O34" s="14"/>
      <c r="P34" s="14">
        <f t="shared" si="15"/>
        <v>358</v>
      </c>
      <c r="Q34" s="14">
        <v>89</v>
      </c>
      <c r="R34" s="14">
        <v>128</v>
      </c>
      <c r="S34" s="14">
        <v>141</v>
      </c>
      <c r="T34" s="25"/>
    </row>
    <row r="35" spans="2:20" s="8" customFormat="1">
      <c r="B35" s="31" t="s">
        <v>42</v>
      </c>
      <c r="C35" s="32"/>
      <c r="D35" s="12">
        <f>SUM(E35:K35)</f>
        <v>1086</v>
      </c>
      <c r="E35" s="12">
        <f t="shared" ref="E35:K35" si="16">SUM(E32:E34)</f>
        <v>1086</v>
      </c>
      <c r="F35" s="12">
        <f t="shared" si="16"/>
        <v>0</v>
      </c>
      <c r="G35" s="12">
        <f t="shared" si="16"/>
        <v>0</v>
      </c>
      <c r="H35" s="12">
        <f t="shared" si="16"/>
        <v>0</v>
      </c>
      <c r="I35" s="12">
        <f t="shared" si="16"/>
        <v>0</v>
      </c>
      <c r="J35" s="12">
        <f t="shared" si="16"/>
        <v>0</v>
      </c>
      <c r="K35" s="12">
        <f t="shared" si="16"/>
        <v>0</v>
      </c>
      <c r="L35" s="12">
        <f>SUM(M35:O35)</f>
        <v>77</v>
      </c>
      <c r="M35" s="12">
        <f>SUM(M32:M34)</f>
        <v>77</v>
      </c>
      <c r="N35" s="12">
        <f>SUM(N32:N34)</f>
        <v>0</v>
      </c>
      <c r="O35" s="12">
        <f>SUM(O32:O34)</f>
        <v>0</v>
      </c>
      <c r="P35" s="12">
        <f t="shared" ref="P35:S35" si="17">SUM(P32:P34)</f>
        <v>358</v>
      </c>
      <c r="Q35" s="12">
        <f t="shared" si="17"/>
        <v>89</v>
      </c>
      <c r="R35" s="12">
        <f t="shared" si="17"/>
        <v>128</v>
      </c>
      <c r="S35" s="12">
        <f t="shared" si="17"/>
        <v>141</v>
      </c>
      <c r="T35" s="25"/>
    </row>
    <row r="36" spans="2:20" s="8" customFormat="1">
      <c r="B36" s="31" t="s">
        <v>37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18"/>
    </row>
    <row r="37" spans="2:20" s="8" customFormat="1">
      <c r="B37" s="24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18"/>
    </row>
    <row r="38" spans="2:20" s="8" customFormat="1">
      <c r="B38" s="27">
        <v>1</v>
      </c>
      <c r="C38" s="9" t="s">
        <v>11</v>
      </c>
      <c r="D38" s="14">
        <f>SUM(E38:K38)</f>
        <v>2559</v>
      </c>
      <c r="E38" s="23">
        <v>2559</v>
      </c>
      <c r="F38" s="23"/>
      <c r="G38" s="14"/>
      <c r="H38" s="14"/>
      <c r="I38" s="14"/>
      <c r="J38" s="14"/>
      <c r="K38" s="14"/>
      <c r="L38" s="14">
        <f>SUM(M38:O38)</f>
        <v>854</v>
      </c>
      <c r="M38" s="14">
        <v>577</v>
      </c>
      <c r="N38" s="14">
        <v>277</v>
      </c>
      <c r="O38" s="14"/>
      <c r="P38" s="14">
        <f t="shared" ref="P38:P40" si="18">Q38+R38+S38</f>
        <v>0</v>
      </c>
      <c r="Q38" s="14"/>
      <c r="R38" s="27"/>
      <c r="S38" s="27"/>
    </row>
    <row r="39" spans="2:20" s="8" customFormat="1">
      <c r="B39" s="27">
        <v>2</v>
      </c>
      <c r="C39" s="9" t="s">
        <v>21</v>
      </c>
      <c r="D39" s="14">
        <f t="shared" ref="D39" si="19">SUM(E39:K39)</f>
        <v>2220</v>
      </c>
      <c r="E39" s="27">
        <v>2220</v>
      </c>
      <c r="F39" s="27"/>
      <c r="G39" s="27"/>
      <c r="H39" s="27"/>
      <c r="I39" s="27"/>
      <c r="J39" s="27"/>
      <c r="K39" s="27"/>
      <c r="L39" s="14">
        <f>SUM(M39:O39)</f>
        <v>842</v>
      </c>
      <c r="M39" s="27">
        <v>842</v>
      </c>
      <c r="N39" s="27"/>
      <c r="O39" s="27"/>
      <c r="P39" s="14">
        <f t="shared" si="18"/>
        <v>0</v>
      </c>
      <c r="Q39" s="14"/>
      <c r="R39" s="27"/>
      <c r="S39" s="27"/>
      <c r="T39" s="25"/>
    </row>
    <row r="40" spans="2:20" s="8" customFormat="1">
      <c r="B40" s="27">
        <v>3</v>
      </c>
      <c r="C40" s="27" t="s">
        <v>23</v>
      </c>
      <c r="D40" s="14">
        <f>SUM(E40:K40)</f>
        <v>312</v>
      </c>
      <c r="E40" s="27">
        <v>312</v>
      </c>
      <c r="F40" s="27"/>
      <c r="G40" s="27"/>
      <c r="H40" s="27"/>
      <c r="I40" s="27"/>
      <c r="J40" s="27"/>
      <c r="K40" s="27"/>
      <c r="L40" s="14">
        <f>SUM(M40:O40)</f>
        <v>1204</v>
      </c>
      <c r="M40" s="27">
        <v>1204</v>
      </c>
      <c r="N40" s="27"/>
      <c r="O40" s="27"/>
      <c r="P40" s="14">
        <f t="shared" si="18"/>
        <v>623</v>
      </c>
      <c r="Q40" s="14">
        <v>530</v>
      </c>
      <c r="R40" s="27">
        <v>10</v>
      </c>
      <c r="S40" s="27">
        <v>83</v>
      </c>
      <c r="T40" s="25"/>
    </row>
    <row r="41" spans="2:20" s="8" customFormat="1">
      <c r="B41" s="31" t="s">
        <v>42</v>
      </c>
      <c r="C41" s="32"/>
      <c r="D41" s="12">
        <f t="shared" ref="D41:O41" si="20">SUM(D38:D40)</f>
        <v>5091</v>
      </c>
      <c r="E41" s="12">
        <f t="shared" si="20"/>
        <v>5091</v>
      </c>
      <c r="F41" s="12">
        <f t="shared" si="20"/>
        <v>0</v>
      </c>
      <c r="G41" s="12">
        <f t="shared" si="20"/>
        <v>0</v>
      </c>
      <c r="H41" s="12">
        <f t="shared" si="20"/>
        <v>0</v>
      </c>
      <c r="I41" s="12">
        <f t="shared" si="20"/>
        <v>0</v>
      </c>
      <c r="J41" s="12">
        <f t="shared" si="20"/>
        <v>0</v>
      </c>
      <c r="K41" s="12">
        <f t="shared" si="20"/>
        <v>0</v>
      </c>
      <c r="L41" s="12">
        <f t="shared" si="20"/>
        <v>2900</v>
      </c>
      <c r="M41" s="12">
        <f t="shared" si="20"/>
        <v>2623</v>
      </c>
      <c r="N41" s="12">
        <f t="shared" si="20"/>
        <v>277</v>
      </c>
      <c r="O41" s="12">
        <f t="shared" si="20"/>
        <v>0</v>
      </c>
      <c r="P41" s="12">
        <f t="shared" ref="P41:S41" si="21">SUM(P38:P40)</f>
        <v>623</v>
      </c>
      <c r="Q41" s="12">
        <f t="shared" si="21"/>
        <v>530</v>
      </c>
      <c r="R41" s="12">
        <f t="shared" si="21"/>
        <v>10</v>
      </c>
      <c r="S41" s="12">
        <f t="shared" si="21"/>
        <v>83</v>
      </c>
      <c r="T41" s="25"/>
    </row>
    <row r="42" spans="2:20" s="8" customFormat="1">
      <c r="B42" s="31" t="s">
        <v>30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18"/>
    </row>
    <row r="43" spans="2:20" s="8" customFormat="1">
      <c r="B43" s="27">
        <v>1</v>
      </c>
      <c r="C43" s="9" t="s">
        <v>50</v>
      </c>
      <c r="D43" s="14">
        <f>SUM(E43:K43)</f>
        <v>4331</v>
      </c>
      <c r="E43" s="14">
        <v>3331</v>
      </c>
      <c r="F43" s="14">
        <v>1000</v>
      </c>
      <c r="G43" s="14"/>
      <c r="H43" s="14"/>
      <c r="I43" s="14"/>
      <c r="J43" s="14"/>
      <c r="K43" s="14"/>
      <c r="L43" s="14">
        <f>SUM(M43:O43)</f>
        <v>5800</v>
      </c>
      <c r="M43" s="14">
        <v>5800</v>
      </c>
      <c r="N43" s="14"/>
      <c r="O43" s="14"/>
      <c r="P43" s="14">
        <f t="shared" ref="P43" si="22">Q43+R43+S43</f>
        <v>0</v>
      </c>
      <c r="Q43" s="14"/>
      <c r="R43" s="14"/>
      <c r="S43" s="14"/>
    </row>
    <row r="44" spans="2:20" s="8" customFormat="1" ht="18" customHeight="1">
      <c r="B44" s="31" t="s">
        <v>42</v>
      </c>
      <c r="C44" s="32"/>
      <c r="D44" s="12">
        <f>SUM(D43:D43)</f>
        <v>4331</v>
      </c>
      <c r="E44" s="12">
        <f>SUM(E43:E43)</f>
        <v>3331</v>
      </c>
      <c r="F44" s="12">
        <f>SUM(F43:F43)</f>
        <v>1000</v>
      </c>
      <c r="G44" s="12">
        <f>SUM(G43:G43)</f>
        <v>0</v>
      </c>
      <c r="H44" s="12">
        <f>SUM(H43:H43)</f>
        <v>0</v>
      </c>
      <c r="I44" s="12"/>
      <c r="J44" s="12">
        <f t="shared" ref="J44:O44" si="23">SUM(J43:J43)</f>
        <v>0</v>
      </c>
      <c r="K44" s="12">
        <f t="shared" si="23"/>
        <v>0</v>
      </c>
      <c r="L44" s="12">
        <f t="shared" si="23"/>
        <v>5800</v>
      </c>
      <c r="M44" s="12">
        <f t="shared" si="23"/>
        <v>5800</v>
      </c>
      <c r="N44" s="12">
        <f t="shared" si="23"/>
        <v>0</v>
      </c>
      <c r="O44" s="12">
        <f t="shared" si="23"/>
        <v>0</v>
      </c>
      <c r="P44" s="12">
        <f t="shared" ref="P44:S44" si="24">SUM(P43:P43)</f>
        <v>0</v>
      </c>
      <c r="Q44" s="12">
        <f t="shared" si="24"/>
        <v>0</v>
      </c>
      <c r="R44" s="12">
        <f t="shared" si="24"/>
        <v>0</v>
      </c>
      <c r="S44" s="12">
        <f t="shared" si="24"/>
        <v>0</v>
      </c>
      <c r="T44" s="25"/>
    </row>
    <row r="45" spans="2:20" s="8" customFormat="1" ht="12.75" customHeight="1">
      <c r="B45" s="31" t="s">
        <v>31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18"/>
    </row>
    <row r="46" spans="2:20" s="8" customFormat="1" ht="12.75" customHeight="1">
      <c r="B46" s="11">
        <v>1</v>
      </c>
      <c r="C46" s="11" t="s">
        <v>20</v>
      </c>
      <c r="D46" s="14">
        <f>SUM(E46:K46)</f>
        <v>0</v>
      </c>
      <c r="E46" s="27"/>
      <c r="F46" s="27"/>
      <c r="G46" s="27"/>
      <c r="H46" s="27"/>
      <c r="I46" s="27"/>
      <c r="J46" s="27"/>
      <c r="K46" s="27"/>
      <c r="L46" s="14">
        <f>SUM(M46:O46)</f>
        <v>0</v>
      </c>
      <c r="M46" s="27"/>
      <c r="N46" s="27"/>
      <c r="O46" s="27"/>
      <c r="P46" s="14">
        <f t="shared" ref="P46" si="25">Q46+R46+S46</f>
        <v>795</v>
      </c>
      <c r="Q46" s="14">
        <v>695</v>
      </c>
      <c r="R46" s="27">
        <v>100</v>
      </c>
      <c r="S46" s="27"/>
      <c r="T46" s="25"/>
    </row>
    <row r="47" spans="2:20" s="8" customFormat="1" ht="12.75" customHeight="1">
      <c r="B47" s="31" t="s">
        <v>42</v>
      </c>
      <c r="C47" s="32"/>
      <c r="D47" s="12">
        <f>SUM(E47:K47)</f>
        <v>0</v>
      </c>
      <c r="E47" s="12">
        <f t="shared" ref="E47:K47" si="26">SUM(E46:E46)</f>
        <v>0</v>
      </c>
      <c r="F47" s="12">
        <f t="shared" si="26"/>
        <v>0</v>
      </c>
      <c r="G47" s="12">
        <f t="shared" si="26"/>
        <v>0</v>
      </c>
      <c r="H47" s="12">
        <f t="shared" si="26"/>
        <v>0</v>
      </c>
      <c r="I47" s="12">
        <f t="shared" si="26"/>
        <v>0</v>
      </c>
      <c r="J47" s="12">
        <f t="shared" si="26"/>
        <v>0</v>
      </c>
      <c r="K47" s="12">
        <f t="shared" si="26"/>
        <v>0</v>
      </c>
      <c r="L47" s="12">
        <f>SUM(M47:O47)</f>
        <v>0</v>
      </c>
      <c r="M47" s="12">
        <f t="shared" ref="M47:S47" si="27">SUM(M46:M46)</f>
        <v>0</v>
      </c>
      <c r="N47" s="12">
        <f t="shared" si="27"/>
        <v>0</v>
      </c>
      <c r="O47" s="12">
        <f t="shared" si="27"/>
        <v>0</v>
      </c>
      <c r="P47" s="12">
        <f t="shared" si="27"/>
        <v>795</v>
      </c>
      <c r="Q47" s="12">
        <f t="shared" si="27"/>
        <v>695</v>
      </c>
      <c r="R47" s="12">
        <f t="shared" si="27"/>
        <v>100</v>
      </c>
      <c r="S47" s="12">
        <f t="shared" si="27"/>
        <v>0</v>
      </c>
      <c r="T47" s="25"/>
    </row>
    <row r="48" spans="2:20" s="8" customFormat="1" ht="12.75" customHeight="1">
      <c r="B48" s="31" t="s">
        <v>32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18"/>
    </row>
    <row r="49" spans="1:20" s="8" customFormat="1" ht="12.75" customHeight="1">
      <c r="B49" s="27">
        <v>1</v>
      </c>
      <c r="C49" s="27" t="s">
        <v>36</v>
      </c>
      <c r="D49" s="14">
        <f>SUM(E49:K49)</f>
        <v>700</v>
      </c>
      <c r="E49" s="27"/>
      <c r="F49" s="27">
        <v>700</v>
      </c>
      <c r="G49" s="27"/>
      <c r="H49" s="27"/>
      <c r="I49" s="27"/>
      <c r="J49" s="27"/>
      <c r="K49" s="27"/>
      <c r="L49" s="14">
        <f>SUM(M49:O49)</f>
        <v>1900</v>
      </c>
      <c r="M49" s="27">
        <v>1900</v>
      </c>
      <c r="N49" s="27"/>
      <c r="O49" s="27"/>
      <c r="P49" s="14">
        <f t="shared" ref="P49:P50" si="28">Q49+R49+S49</f>
        <v>500</v>
      </c>
      <c r="Q49" s="14">
        <v>200</v>
      </c>
      <c r="R49" s="27">
        <v>90</v>
      </c>
      <c r="S49" s="27">
        <v>210</v>
      </c>
      <c r="T49" s="25"/>
    </row>
    <row r="50" spans="1:20" s="8" customFormat="1">
      <c r="B50" s="27">
        <v>2</v>
      </c>
      <c r="C50" s="27" t="s">
        <v>49</v>
      </c>
      <c r="D50" s="14">
        <f>SUM(E50:K50)</f>
        <v>4144</v>
      </c>
      <c r="E50" s="27">
        <v>1294</v>
      </c>
      <c r="F50" s="27">
        <v>2850</v>
      </c>
      <c r="G50" s="27"/>
      <c r="H50" s="27"/>
      <c r="I50" s="27"/>
      <c r="J50" s="27"/>
      <c r="K50" s="27"/>
      <c r="L50" s="14">
        <f>SUM(M50:O50)</f>
        <v>1500</v>
      </c>
      <c r="M50" s="27">
        <v>1500</v>
      </c>
      <c r="N50" s="27"/>
      <c r="O50" s="27"/>
      <c r="P50" s="14">
        <f t="shared" si="28"/>
        <v>0</v>
      </c>
      <c r="Q50" s="14"/>
      <c r="R50" s="27"/>
      <c r="S50" s="27"/>
    </row>
    <row r="51" spans="1:20" s="17" customFormat="1" ht="12.75" customHeight="1">
      <c r="A51" s="8"/>
      <c r="B51" s="31" t="s">
        <v>42</v>
      </c>
      <c r="C51" s="32"/>
      <c r="D51" s="12">
        <f>SUM(E51:K51)</f>
        <v>4844</v>
      </c>
      <c r="E51" s="12">
        <f t="shared" ref="E51:K51" si="29">SUM(E49:E50)</f>
        <v>1294</v>
      </c>
      <c r="F51" s="12">
        <f t="shared" si="29"/>
        <v>3550</v>
      </c>
      <c r="G51" s="12">
        <f t="shared" si="29"/>
        <v>0</v>
      </c>
      <c r="H51" s="12">
        <f t="shared" si="29"/>
        <v>0</v>
      </c>
      <c r="I51" s="12">
        <f t="shared" si="29"/>
        <v>0</v>
      </c>
      <c r="J51" s="12">
        <f t="shared" si="29"/>
        <v>0</v>
      </c>
      <c r="K51" s="12">
        <f t="shared" si="29"/>
        <v>0</v>
      </c>
      <c r="L51" s="12">
        <f>SUM(M51:O51)</f>
        <v>3400</v>
      </c>
      <c r="M51" s="12">
        <f>SUM(M49:M50)</f>
        <v>3400</v>
      </c>
      <c r="N51" s="12">
        <f>SUM(N49:N50)</f>
        <v>0</v>
      </c>
      <c r="O51" s="12">
        <f>SUM(O49:O50)</f>
        <v>0</v>
      </c>
      <c r="P51" s="12">
        <f t="shared" ref="P51:S51" si="30">SUM(P49:P50)</f>
        <v>500</v>
      </c>
      <c r="Q51" s="12">
        <f t="shared" si="30"/>
        <v>200</v>
      </c>
      <c r="R51" s="12">
        <f t="shared" si="30"/>
        <v>90</v>
      </c>
      <c r="S51" s="12">
        <f t="shared" si="30"/>
        <v>210</v>
      </c>
      <c r="T51" s="25"/>
    </row>
    <row r="52" spans="1:20" s="13" customFormat="1" ht="12.75" customHeight="1">
      <c r="A52" s="8"/>
      <c r="B52" s="31" t="s">
        <v>33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18"/>
    </row>
    <row r="53" spans="1:20" s="8" customFormat="1" ht="12.75" customHeight="1">
      <c r="B53" s="27">
        <v>1</v>
      </c>
      <c r="C53" s="27" t="s">
        <v>34</v>
      </c>
      <c r="D53" s="14">
        <f>SUM(E53:K53)</f>
        <v>0</v>
      </c>
      <c r="E53" s="27"/>
      <c r="F53" s="27"/>
      <c r="G53" s="27"/>
      <c r="H53" s="27"/>
      <c r="I53" s="27"/>
      <c r="J53" s="27"/>
      <c r="K53" s="27"/>
      <c r="L53" s="14">
        <f>SUM(M53:O53)</f>
        <v>0</v>
      </c>
      <c r="M53" s="27"/>
      <c r="N53" s="27"/>
      <c r="O53" s="27"/>
      <c r="P53" s="14">
        <f t="shared" ref="P53:P55" si="31">Q53+R53+S53</f>
        <v>516</v>
      </c>
      <c r="Q53" s="14">
        <v>3</v>
      </c>
      <c r="R53" s="27">
        <v>236</v>
      </c>
      <c r="S53" s="27">
        <v>277</v>
      </c>
      <c r="T53" s="25"/>
    </row>
    <row r="54" spans="1:20" s="8" customFormat="1" ht="12.75" customHeight="1">
      <c r="B54" s="27">
        <v>2</v>
      </c>
      <c r="C54" s="27" t="s">
        <v>35</v>
      </c>
      <c r="D54" s="14">
        <f>SUM(E54:K54)</f>
        <v>0</v>
      </c>
      <c r="E54" s="27"/>
      <c r="F54" s="27"/>
      <c r="G54" s="27"/>
      <c r="H54" s="27"/>
      <c r="I54" s="27"/>
      <c r="J54" s="27"/>
      <c r="K54" s="27"/>
      <c r="L54" s="14">
        <f>SUM(M54:O54)</f>
        <v>0</v>
      </c>
      <c r="M54" s="27"/>
      <c r="N54" s="27"/>
      <c r="O54" s="27"/>
      <c r="P54" s="14">
        <f t="shared" si="31"/>
        <v>463</v>
      </c>
      <c r="Q54" s="14">
        <v>236</v>
      </c>
      <c r="R54" s="27">
        <v>140</v>
      </c>
      <c r="S54" s="27">
        <v>87</v>
      </c>
      <c r="T54" s="25"/>
    </row>
    <row r="55" spans="1:20" s="8" customFormat="1" ht="12.75" customHeight="1">
      <c r="B55" s="27">
        <v>3</v>
      </c>
      <c r="C55" s="27" t="s">
        <v>36</v>
      </c>
      <c r="D55" s="14">
        <f>SUM(E55:K55)</f>
        <v>0</v>
      </c>
      <c r="E55" s="27"/>
      <c r="F55" s="27"/>
      <c r="G55" s="27"/>
      <c r="H55" s="27"/>
      <c r="I55" s="27"/>
      <c r="J55" s="27"/>
      <c r="K55" s="27"/>
      <c r="L55" s="14">
        <f>SUM(M55:O55)</f>
        <v>0</v>
      </c>
      <c r="M55" s="27"/>
      <c r="N55" s="27"/>
      <c r="O55" s="27"/>
      <c r="P55" s="14">
        <f t="shared" si="31"/>
        <v>0</v>
      </c>
      <c r="Q55" s="14"/>
      <c r="R55" s="27"/>
      <c r="S55" s="27"/>
      <c r="T55" s="25"/>
    </row>
    <row r="56" spans="1:20" s="16" customFormat="1" ht="12.75" customHeight="1">
      <c r="A56" s="8"/>
      <c r="B56" s="31" t="s">
        <v>42</v>
      </c>
      <c r="C56" s="32"/>
      <c r="D56" s="12">
        <f>SUM(E56:K56)</f>
        <v>0</v>
      </c>
      <c r="E56" s="12">
        <f t="shared" ref="E56:K56" si="32">SUM(E53:E55)</f>
        <v>0</v>
      </c>
      <c r="F56" s="12">
        <f t="shared" si="32"/>
        <v>0</v>
      </c>
      <c r="G56" s="12">
        <f t="shared" si="32"/>
        <v>0</v>
      </c>
      <c r="H56" s="12">
        <f t="shared" si="32"/>
        <v>0</v>
      </c>
      <c r="I56" s="12">
        <f t="shared" si="32"/>
        <v>0</v>
      </c>
      <c r="J56" s="12">
        <f t="shared" si="32"/>
        <v>0</v>
      </c>
      <c r="K56" s="12">
        <f t="shared" si="32"/>
        <v>0</v>
      </c>
      <c r="L56" s="12">
        <f>SUM(M56:O56)</f>
        <v>0</v>
      </c>
      <c r="M56" s="12">
        <f>SUM(M53:M55)</f>
        <v>0</v>
      </c>
      <c r="N56" s="12">
        <f>SUM(N53:N55)</f>
        <v>0</v>
      </c>
      <c r="O56" s="12">
        <f>SUM(O53:O55)</f>
        <v>0</v>
      </c>
      <c r="P56" s="12">
        <f t="shared" ref="P56:S56" si="33">SUM(P53:P55)</f>
        <v>979</v>
      </c>
      <c r="Q56" s="12">
        <f t="shared" si="33"/>
        <v>239</v>
      </c>
      <c r="R56" s="12">
        <f t="shared" si="33"/>
        <v>376</v>
      </c>
      <c r="S56" s="12">
        <f t="shared" si="33"/>
        <v>364</v>
      </c>
      <c r="T56" s="25"/>
    </row>
  </sheetData>
  <mergeCells count="30">
    <mergeCell ref="B1:S1"/>
    <mergeCell ref="B2:S2"/>
    <mergeCell ref="B4:B5"/>
    <mergeCell ref="C4:C5"/>
    <mergeCell ref="E3:S3"/>
    <mergeCell ref="D4:K4"/>
    <mergeCell ref="L4:O4"/>
    <mergeCell ref="P4:S4"/>
    <mergeCell ref="B6:S6"/>
    <mergeCell ref="B31:S31"/>
    <mergeCell ref="B11:S11"/>
    <mergeCell ref="B51:C51"/>
    <mergeCell ref="B36:S36"/>
    <mergeCell ref="B41:C41"/>
    <mergeCell ref="B30:C30"/>
    <mergeCell ref="B17:S17"/>
    <mergeCell ref="B22:S22"/>
    <mergeCell ref="B27:S27"/>
    <mergeCell ref="B26:C26"/>
    <mergeCell ref="B21:C21"/>
    <mergeCell ref="B10:C10"/>
    <mergeCell ref="B16:C16"/>
    <mergeCell ref="B56:C56"/>
    <mergeCell ref="B48:S48"/>
    <mergeCell ref="B52:S52"/>
    <mergeCell ref="B45:S45"/>
    <mergeCell ref="B35:C35"/>
    <mergeCell ref="B44:C44"/>
    <mergeCell ref="B42:S42"/>
    <mergeCell ref="B47:C47"/>
  </mergeCells>
  <phoneticPr fontId="7" type="noConversion"/>
  <pageMargins left="0.31496062992125984" right="0.15748031496062992" top="0.27559055118110237" bottom="0.19685039370078741" header="0.19685039370078741" footer="0.27559055118110237"/>
  <pageSetup paperSize="9" scale="53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2026</vt:lpstr>
      <vt:lpstr>'2026'!Заголовки_для_печати</vt:lpstr>
      <vt:lpstr>'2026'!Область_печати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</dc:creator>
  <cp:lastModifiedBy>Руководитель</cp:lastModifiedBy>
  <cp:lastPrinted>2026-10-14T11:10:39Z</cp:lastPrinted>
  <dcterms:created xsi:type="dcterms:W3CDTF">2016-06-20T09:03:26Z</dcterms:created>
  <dcterms:modified xsi:type="dcterms:W3CDTF">2026-10-14T11:55:23Z</dcterms:modified>
</cp:coreProperties>
</file>